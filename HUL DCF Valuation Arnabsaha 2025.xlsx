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855" activeTab="5"/>
  </bookViews>
  <sheets>
    <sheet name="Assumptions" sheetId="1" r:id="rId1"/>
    <sheet name="Revenue" sheetId="2" r:id="rId2"/>
    <sheet name="p&amp;l" sheetId="3" r:id="rId3"/>
    <sheet name="BS" sheetId="4" r:id="rId4"/>
    <sheet name="FCF" sheetId="5" r:id="rId5"/>
    <sheet name="DCF" sheetId="6" r:id="rId6"/>
  </sheets>
  <calcPr calcId="144525"/>
  <fileRecoveryPr repairLoad="1"/>
</workbook>
</file>

<file path=xl/calcChain.xml><?xml version="1.0" encoding="utf-8"?>
<calcChain xmlns="http://schemas.openxmlformats.org/spreadsheetml/2006/main">
  <c r="B31" i="6" l="1"/>
  <c r="E13" i="6" s="1"/>
  <c r="B32" i="6"/>
  <c r="E14" i="6" l="1"/>
  <c r="F7" i="6"/>
  <c r="E7" i="6"/>
  <c r="E8" i="6" s="1"/>
  <c r="I7" i="6"/>
  <c r="E19" i="6" s="1"/>
  <c r="H7" i="6"/>
  <c r="H8" i="6" s="1"/>
  <c r="G7" i="6"/>
  <c r="E28" i="6"/>
  <c r="E26" i="6"/>
  <c r="E24" i="6"/>
  <c r="E18" i="6"/>
  <c r="F8" i="6"/>
  <c r="G8" i="6"/>
  <c r="I8" i="6"/>
  <c r="F5" i="6"/>
  <c r="G5" i="6"/>
  <c r="H5" i="6"/>
  <c r="I5" i="6"/>
  <c r="E5" i="6"/>
  <c r="F14" i="5"/>
  <c r="G14" i="5"/>
  <c r="H14" i="5"/>
  <c r="I14" i="5"/>
  <c r="E14" i="5"/>
  <c r="G13" i="5"/>
  <c r="H13" i="5"/>
  <c r="I13" i="5"/>
  <c r="F13" i="5"/>
  <c r="F12" i="5"/>
  <c r="G12" i="5"/>
  <c r="H12" i="5"/>
  <c r="I12" i="5"/>
  <c r="E12" i="5"/>
  <c r="F10" i="5"/>
  <c r="G10" i="5"/>
  <c r="H10" i="5"/>
  <c r="I10" i="5"/>
  <c r="E10" i="5"/>
  <c r="F9" i="5"/>
  <c r="G9" i="5"/>
  <c r="H9" i="5"/>
  <c r="I9" i="5"/>
  <c r="E9" i="5"/>
  <c r="F8" i="5"/>
  <c r="G8" i="5"/>
  <c r="H8" i="5"/>
  <c r="I8" i="5"/>
  <c r="E8" i="5"/>
  <c r="F7" i="5"/>
  <c r="G7" i="5"/>
  <c r="H7" i="5"/>
  <c r="I7" i="5"/>
  <c r="E7" i="5"/>
  <c r="F6" i="5"/>
  <c r="G6" i="5"/>
  <c r="H6" i="5"/>
  <c r="I6" i="5"/>
  <c r="E6" i="5"/>
  <c r="F5" i="5"/>
  <c r="G5" i="5"/>
  <c r="H5" i="5"/>
  <c r="I5" i="5"/>
  <c r="E5" i="5"/>
  <c r="D26" i="4"/>
  <c r="E15" i="6" l="1"/>
  <c r="E22" i="6"/>
  <c r="E9" i="6"/>
  <c r="F27" i="4"/>
  <c r="G27" i="4"/>
  <c r="H27" i="4"/>
  <c r="I27" i="4"/>
  <c r="F26" i="4"/>
  <c r="G26" i="4"/>
  <c r="H26" i="4"/>
  <c r="I26" i="4"/>
  <c r="F25" i="4"/>
  <c r="G25" i="4"/>
  <c r="H25" i="4"/>
  <c r="I25" i="4"/>
  <c r="E27" i="4"/>
  <c r="E26" i="4"/>
  <c r="E25" i="4"/>
  <c r="E23" i="6" l="1"/>
  <c r="E25" i="6" s="1"/>
  <c r="E27" i="6" s="1"/>
  <c r="A35" i="6" s="1"/>
  <c r="B23" i="4"/>
  <c r="F19" i="4"/>
  <c r="G19" i="4"/>
  <c r="H19" i="4"/>
  <c r="I19" i="4"/>
  <c r="E19" i="4"/>
  <c r="F18" i="4"/>
  <c r="G18" i="4" s="1"/>
  <c r="H18" i="4" s="1"/>
  <c r="I18" i="4" s="1"/>
  <c r="E18" i="4"/>
  <c r="F17" i="4"/>
  <c r="G17" i="4" s="1"/>
  <c r="H17" i="4" s="1"/>
  <c r="I17" i="4" s="1"/>
  <c r="E17" i="4"/>
  <c r="F16" i="4"/>
  <c r="G16" i="4"/>
  <c r="H16" i="4"/>
  <c r="I16" i="4"/>
  <c r="E16" i="4"/>
  <c r="F15" i="4"/>
  <c r="G15" i="4"/>
  <c r="H15" i="4"/>
  <c r="I15" i="4"/>
  <c r="E15" i="4"/>
  <c r="F12" i="4"/>
  <c r="G12" i="4"/>
  <c r="H12" i="4"/>
  <c r="I12" i="4"/>
  <c r="E12" i="4"/>
  <c r="F11" i="4"/>
  <c r="G11" i="4" s="1"/>
  <c r="H11" i="4" s="1"/>
  <c r="I11" i="4" s="1"/>
  <c r="E11" i="4"/>
  <c r="F10" i="4"/>
  <c r="G10" i="4" s="1"/>
  <c r="H10" i="4" s="1"/>
  <c r="I10" i="4" s="1"/>
  <c r="E10" i="4"/>
  <c r="F9" i="4"/>
  <c r="G9" i="4"/>
  <c r="H9" i="4"/>
  <c r="I9" i="4"/>
  <c r="E9" i="4"/>
  <c r="F8" i="4"/>
  <c r="G8" i="4"/>
  <c r="H8" i="4"/>
  <c r="I8" i="4"/>
  <c r="E8" i="4"/>
  <c r="F7" i="4"/>
  <c r="G7" i="4" s="1"/>
  <c r="H7" i="4" s="1"/>
  <c r="I7" i="4" s="1"/>
  <c r="E7" i="4"/>
  <c r="F6" i="4"/>
  <c r="G6" i="4" s="1"/>
  <c r="H6" i="4" s="1"/>
  <c r="I6" i="4" s="1"/>
  <c r="E6" i="4"/>
  <c r="D19" i="4"/>
  <c r="C19" i="4"/>
  <c r="B19" i="4"/>
  <c r="D12" i="4"/>
  <c r="C12" i="4"/>
  <c r="B12" i="4"/>
  <c r="F17" i="3"/>
  <c r="G17" i="3"/>
  <c r="H17" i="3"/>
  <c r="I17" i="3"/>
  <c r="E17" i="3"/>
  <c r="F16" i="3"/>
  <c r="G16" i="3"/>
  <c r="H16" i="3"/>
  <c r="I16" i="3"/>
  <c r="E16" i="3"/>
  <c r="F15" i="3"/>
  <c r="G15" i="3"/>
  <c r="H15" i="3"/>
  <c r="I15" i="3"/>
  <c r="E15" i="3"/>
  <c r="F14" i="3"/>
  <c r="G14" i="3"/>
  <c r="H14" i="3"/>
  <c r="I14" i="3"/>
  <c r="E14" i="3"/>
  <c r="F13" i="3"/>
  <c r="G13" i="3"/>
  <c r="H13" i="3"/>
  <c r="I13" i="3"/>
  <c r="E13" i="3"/>
  <c r="F12" i="3"/>
  <c r="G12" i="3"/>
  <c r="H12" i="3"/>
  <c r="I12" i="3"/>
  <c r="E12" i="3"/>
  <c r="F11" i="3"/>
  <c r="G11" i="3"/>
  <c r="H11" i="3"/>
  <c r="I11" i="3"/>
  <c r="E11" i="3"/>
  <c r="F10" i="3"/>
  <c r="G10" i="3"/>
  <c r="H10" i="3"/>
  <c r="I10" i="3"/>
  <c r="E10" i="3"/>
  <c r="F9" i="3"/>
  <c r="G9" i="3"/>
  <c r="H9" i="3"/>
  <c r="I9" i="3"/>
  <c r="E9" i="3"/>
  <c r="F8" i="3"/>
  <c r="G8" i="3"/>
  <c r="H8" i="3"/>
  <c r="I8" i="3"/>
  <c r="E8" i="3"/>
  <c r="F7" i="3"/>
  <c r="G7" i="3"/>
  <c r="H7" i="3"/>
  <c r="I7" i="3"/>
  <c r="E7" i="3"/>
  <c r="F6" i="3"/>
  <c r="G6" i="3"/>
  <c r="H6" i="3"/>
  <c r="I6" i="3"/>
  <c r="E6" i="3"/>
  <c r="F5" i="3"/>
  <c r="G5" i="3"/>
  <c r="H5" i="3"/>
  <c r="I5" i="3"/>
  <c r="E5" i="3"/>
  <c r="D17" i="3"/>
  <c r="D16" i="3"/>
  <c r="D15" i="3"/>
  <c r="D14" i="3"/>
  <c r="C17" i="3"/>
  <c r="C16" i="3"/>
  <c r="C15" i="3"/>
  <c r="C14" i="3"/>
  <c r="B17" i="3"/>
  <c r="B16" i="3"/>
  <c r="B15" i="3"/>
  <c r="B14" i="3"/>
  <c r="D12" i="3"/>
  <c r="C12" i="3"/>
  <c r="B12" i="3"/>
  <c r="D11" i="3"/>
  <c r="C11" i="3"/>
  <c r="B11" i="3"/>
  <c r="D9" i="3"/>
  <c r="C9" i="3"/>
  <c r="B9" i="3"/>
  <c r="D7" i="3"/>
  <c r="C7" i="3"/>
  <c r="B7" i="3"/>
  <c r="E29" i="6" l="1"/>
  <c r="F9" i="2"/>
  <c r="G9" i="2"/>
  <c r="G10" i="2" s="1"/>
  <c r="H9" i="2"/>
  <c r="I10" i="2" s="1"/>
  <c r="I9" i="2"/>
  <c r="F10" i="2"/>
  <c r="H10" i="2"/>
  <c r="E10" i="2"/>
  <c r="E9" i="2"/>
  <c r="F5" i="2"/>
  <c r="G5" i="2" s="1"/>
  <c r="H5" i="2" s="1"/>
  <c r="I5" i="2" s="1"/>
  <c r="F6" i="2"/>
  <c r="G6" i="2" s="1"/>
  <c r="H6" i="2" s="1"/>
  <c r="I6" i="2" s="1"/>
  <c r="F7" i="2"/>
  <c r="G7" i="2" s="1"/>
  <c r="H7" i="2" s="1"/>
  <c r="I7" i="2" s="1"/>
  <c r="F8" i="2"/>
  <c r="G8" i="2" s="1"/>
  <c r="H8" i="2" s="1"/>
  <c r="I8" i="2" s="1"/>
  <c r="E8" i="2"/>
  <c r="E7" i="2"/>
  <c r="E6" i="2"/>
  <c r="E5" i="2"/>
  <c r="D10" i="2"/>
  <c r="D9" i="2"/>
  <c r="C10" i="2"/>
  <c r="C9" i="2"/>
  <c r="B9" i="2"/>
  <c r="B24" i="1"/>
  <c r="B51" i="1" l="1"/>
  <c r="B50" i="1"/>
  <c r="B48" i="1"/>
  <c r="B47" i="1"/>
  <c r="B45" i="1"/>
  <c r="B43" i="1"/>
  <c r="B33" i="1"/>
</calcChain>
</file>

<file path=xl/sharedStrings.xml><?xml version="1.0" encoding="utf-8"?>
<sst xmlns="http://schemas.openxmlformats.org/spreadsheetml/2006/main" count="185" uniqueCount="146">
  <si>
    <t>HUL DCF Model — Assumptions</t>
  </si>
  <si>
    <t>Base Year: FY25</t>
  </si>
  <si>
    <t>Forecast Period: FY26E to FY30E</t>
  </si>
  <si>
    <t>MACRO ASSUMPTIONS</t>
  </si>
  <si>
    <t>India Nominal GDP Growth</t>
  </si>
  <si>
    <t>India CPI Inflation</t>
  </si>
  <si>
    <t>10-Year G-Sec Yield (Rf)</t>
  </si>
  <si>
    <t>India Equity Risk Premium</t>
  </si>
  <si>
    <t>Terminal Growth Rate</t>
  </si>
  <si>
    <t>Real 6% + CPI 4.5%</t>
  </si>
  <si>
    <t>RBI medium-term target</t>
  </si>
  <si>
    <t>Risk-free rate for WACC</t>
  </si>
  <si>
    <t>Damodaran Jan 2025</t>
  </si>
  <si>
    <t>Must be below nominal GDP</t>
  </si>
  <si>
    <t>REVENUE GROWTH ASSUMPTIONS</t>
  </si>
  <si>
    <t>Home Care — Annual Growth</t>
  </si>
  <si>
    <t>Beauty &amp; Personal Care — Annual Growth</t>
  </si>
  <si>
    <t>Foods &amp; Refreshment — Annual Growth</t>
  </si>
  <si>
    <t>Others (Exports) — Annual Growth</t>
  </si>
  <si>
    <t>FY25 Base Revenue (₹ Cr)</t>
  </si>
  <si>
    <t>Audited FY25 total — update if needed</t>
  </si>
  <si>
    <t>Mature segment, premiumisation led</t>
  </si>
  <si>
    <t>Minimalist acquisition + D2C growth</t>
  </si>
  <si>
    <t>Post ice-cream demerger adjusted</t>
  </si>
  <si>
    <t>Non-core, flat assumed</t>
  </si>
  <si>
    <t>MARGIN ASSUMPTIONS</t>
  </si>
  <si>
    <t>Gross Margin %</t>
  </si>
  <si>
    <t>EBITDA Margin %</t>
  </si>
  <si>
    <t>Depreciation (% of Revenue)</t>
  </si>
  <si>
    <t>EBIT Margin %</t>
  </si>
  <si>
    <t>Effective Tax Rate</t>
  </si>
  <si>
    <t>Other Income (₹ Cr, flat)</t>
  </si>
  <si>
    <t>FY25 actual ~49.8%, slight compression</t>
  </si>
  <si>
    <t>Mgmt guided 22–23% band</t>
  </si>
  <si>
    <t>Historical average</t>
  </si>
  <si>
    <t>Auto-calculated</t>
  </si>
  <si>
    <t>New tax regime, incl. deferred tax</t>
  </si>
  <si>
    <t>Interest income on cash surplus</t>
  </si>
  <si>
    <t>WORKING CAPITAL ASSUMPTIONS</t>
  </si>
  <si>
    <t>Debtor Days (DSO)</t>
  </si>
  <si>
    <t>Inventory Days (DIO)</t>
  </si>
  <si>
    <t>Payable Days (DPO)</t>
  </si>
  <si>
    <t>Cash Conversion Cycle</t>
  </si>
  <si>
    <t>Days to collect from customers</t>
  </si>
  <si>
    <t>Days inventory held</t>
  </si>
  <si>
    <t>Days HUL takes to pay suppliers</t>
  </si>
  <si>
    <t>Negative = structural advantage</t>
  </si>
  <si>
    <t>CAPEX ASSUMPTIONS</t>
  </si>
  <si>
    <t>Capex as % of Revenue</t>
  </si>
  <si>
    <t>Depreciation as % of Revenue</t>
  </si>
  <si>
    <t>HUL is asset-light, 5Y avg ~2.5–3%</t>
  </si>
  <si>
    <t>WACC INPUTS</t>
  </si>
  <si>
    <t>Risk-Free Rate</t>
  </si>
  <si>
    <t>Equity Risk Premium</t>
  </si>
  <si>
    <t>Beta (HUL vs Nifty 50)</t>
  </si>
  <si>
    <t>Cost of Equity (Ke)</t>
  </si>
  <si>
    <t>Pre-Tax Cost of Debt (Kd)</t>
  </si>
  <si>
    <t>Tax Rate</t>
  </si>
  <si>
    <t>Post-Tax Cost of Debt</t>
  </si>
  <si>
    <t>Debt Weight (Wd)</t>
  </si>
  <si>
    <t>Equity Weight (We)</t>
  </si>
  <si>
    <t>WACC</t>
  </si>
  <si>
    <t>HUL — Revenue Model</t>
  </si>
  <si>
    <t>All figures in ₹ Crore</t>
  </si>
  <si>
    <t>Segment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</si>
  <si>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</si>
  <si>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</si>
  <si>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</si>
  <si>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</si>
  <si>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</si>
  <si>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</si>
  <si>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</si>
  <si>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</si>
  <si>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Home Care</t>
  </si>
  <si>
    <t>Beauty &amp; Personal Care</t>
  </si>
  <si>
    <t>Foods &amp; Refreshment</t>
  </si>
  <si>
    <t>Others (Exports)</t>
  </si>
  <si>
    <t>Total Revenue</t>
  </si>
  <si>
    <t>YoY Growth %</t>
  </si>
  <si>
    <t>—</t>
  </si>
  <si>
    <t>HUL — Income Statement (P&amp;L)</t>
  </si>
  <si>
    <t>Line Item</t>
  </si>
  <si>
    <t>Revenue</t>
  </si>
  <si>
    <t>Gross Profit</t>
  </si>
  <si>
    <t>EBITDA</t>
  </si>
  <si>
    <t>Depreciation</t>
  </si>
  <si>
    <t>EBIT</t>
  </si>
  <si>
    <t>Other Income</t>
  </si>
  <si>
    <t>PBT</t>
  </si>
  <si>
    <t>Tax</t>
  </si>
  <si>
    <t>PAT</t>
  </si>
  <si>
    <t>PAT Margin %</t>
  </si>
  <si>
    <t>HUL — Balance Sheet</t>
  </si>
  <si>
    <t>ASSETS</t>
  </si>
  <si>
    <t>Net Fixed Assets</t>
  </si>
  <si>
    <t>Capital WIP</t>
  </si>
  <si>
    <t>Trade Receivables</t>
  </si>
  <si>
    <t>Inventory</t>
  </si>
  <si>
    <t>Cash &amp; Equivalents</t>
  </si>
  <si>
    <t>Other Current Assets</t>
  </si>
  <si>
    <t>Total Assets</t>
  </si>
  <si>
    <t>LIABILITIES</t>
  </si>
  <si>
    <t>Trade Payables</t>
  </si>
  <si>
    <t>Short Term Debt</t>
  </si>
  <si>
    <t>Other Current Liabilities</t>
  </si>
  <si>
    <t>Total Equity</t>
  </si>
  <si>
    <t>Total Liabilities &amp; Equity</t>
  </si>
  <si>
    <t>NET WORKING CAPITAL CHECK</t>
  </si>
  <si>
    <t>NWC = Receivables + Inventory − Payables</t>
  </si>
  <si>
    <t>FY26E NWC</t>
  </si>
  <si>
    <t>Capex (₹ Cr)</t>
  </si>
  <si>
    <t>NWC (Receivables + Inventory − Payables)</t>
  </si>
  <si>
    <t>Change in NWC (vs prior year)</t>
  </si>
  <si>
    <t>HUL — Free Cash Flow to Firm (FCFF)</t>
  </si>
  <si>
    <t>Tax on EBIT (25%)</t>
  </si>
  <si>
    <t>NOPAT = EBIT(1−t)</t>
  </si>
  <si>
    <t>Less: Capex</t>
  </si>
  <si>
    <t>Less: Change in NWC</t>
  </si>
  <si>
    <t>FREE CASH FLOW TO FIRM (FCFF)</t>
  </si>
  <si>
    <t>FCFF Growth %</t>
  </si>
  <si>
    <t>FCFF Margin %</t>
  </si>
  <si>
    <t>HUL — DCF Valuation</t>
  </si>
  <si>
    <t>FCFF</t>
  </si>
  <si>
    <t>Discount Period (Year)</t>
  </si>
  <si>
    <t>Discount Factor</t>
  </si>
  <si>
    <t>PV of FCFF</t>
  </si>
  <si>
    <t>Total PV of FCFFs</t>
  </si>
  <si>
    <t>TERMINAL VALUE — METHOD 1 (Gordon Growth)</t>
  </si>
  <si>
    <t>Terminal FCFF (FY31E)</t>
  </si>
  <si>
    <t>Terminal Value (GGM)</t>
  </si>
  <si>
    <t>PV of Terminal Value (GGM)</t>
  </si>
  <si>
    <t>TERMINAL VALUE — METHOD 2 (Exit Multiple)</t>
  </si>
  <si>
    <t>Terminal Value (35× FY30 EBITDA)</t>
  </si>
  <si>
    <t>PV of Terminal Value (Exit Multiple)</t>
  </si>
  <si>
    <t>Average PV of Terminal Value</t>
  </si>
  <si>
    <t>Enterprise Value (EV)</t>
  </si>
  <si>
    <t>Less: Net Debt (Debt − Cash)</t>
  </si>
  <si>
    <t>Equity Value</t>
  </si>
  <si>
    <t>Shares Outstanding (Crore)</t>
  </si>
  <si>
    <t>Intrinsic Value per Share (₹)</t>
  </si>
  <si>
    <t>Current Market Price (₹)</t>
  </si>
  <si>
    <t>Upside / (Downside) %</t>
  </si>
  <si>
    <t>SENSITIVITY ANALYSIS — Intrinsic Value per Share (₹)</t>
  </si>
  <si>
    <t>WACC (rows) vs Terminal Growth Rate (columns)</t>
  </si>
  <si>
    <t>Terminal Growth Rate (link)</t>
  </si>
  <si>
    <t>WACC (link)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</si>
</sst>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0"/>
      <color theme="1"/>
      <name val="Arial Unicode MS"/>
      <family val="2"/>
    </font>
    <font>
      <sz val="11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1"/>
      <color theme="3"/>
      <name val="Calibri"/>
      <family val="2"/>
      <scheme val="minor"/>
    </font>
    <font>
      <sz val="10"/>
      <color theme="3"/>
      <name val="Arial Unicode MS"/>
      <family val="2"/>
    </font>
    <font>
      <b/>
      <sz val="12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0" fontId="0" fillId="0" borderId="0" xfId="0" applyNumberFormat="1"/>
    <xf numFmtId="10" fontId="2" fillId="0" borderId="0" xfId="0" applyNumberFormat="1" applyFont="1"/>
    <xf numFmtId="3" fontId="0" fillId="0" borderId="0" xfId="0" applyNumberFormat="1"/>
    <xf numFmtId="0" fontId="2" fillId="0" borderId="0" xfId="0" applyFont="1"/>
    <xf numFmtId="9" fontId="0" fillId="0" borderId="0" xfId="0" applyNumberFormat="1"/>
    <xf numFmtId="9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3" fontId="6" fillId="0" borderId="0" xfId="0" applyNumberFormat="1" applyFont="1"/>
    <xf numFmtId="3" fontId="7" fillId="0" borderId="0" xfId="0" applyNumberFormat="1" applyFont="1"/>
    <xf numFmtId="0" fontId="5" fillId="0" borderId="0" xfId="0" applyFont="1"/>
    <xf numFmtId="9" fontId="6" fillId="0" borderId="0" xfId="0" applyNumberFormat="1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10" workbookViewId="0">
      <selection activeCell="B10" sqref="B10"/>
    </sheetView>
  </sheetViews>
  <sheetFormatPr defaultRowHeight="15" x14ac:dyDescent="0.25"/>
  <cols>
    <col min="1" max="1" width="8.7109375" customWidth="1"/>
  </cols>
  <sheetData>
    <row r="1" spans="1:6" ht="15.75" x14ac:dyDescent="0.25">
      <c r="A1" s="16" t="s">
        <v>0</v>
      </c>
      <c r="B1" s="16"/>
      <c r="C1" s="16"/>
      <c r="D1" s="16"/>
      <c r="E1" s="16"/>
      <c r="F1" s="16"/>
    </row>
    <row r="2" spans="1:6" x14ac:dyDescent="0.25">
      <c r="A2" t="s">
        <v>1</v>
      </c>
    </row>
    <row r="3" spans="1:6" x14ac:dyDescent="0.25">
      <c r="A3" t="s">
        <v>2</v>
      </c>
    </row>
    <row r="5" spans="1:6" ht="15.75" x14ac:dyDescent="0.25">
      <c r="A5" s="16" t="s">
        <v>3</v>
      </c>
      <c r="B5" s="16"/>
      <c r="C5" s="16"/>
      <c r="D5" s="16"/>
      <c r="E5" s="16"/>
      <c r="F5" s="16"/>
    </row>
    <row r="6" spans="1:6" x14ac:dyDescent="0.25">
      <c r="A6" t="s">
        <v>4</v>
      </c>
      <c r="B6" s="1">
        <v>0.105</v>
      </c>
      <c r="C6" s="1"/>
      <c r="D6" t="s">
        <v>9</v>
      </c>
    </row>
    <row r="7" spans="1:6" x14ac:dyDescent="0.25">
      <c r="A7" t="s">
        <v>5</v>
      </c>
      <c r="B7" s="1">
        <v>4.4999999999999998E-2</v>
      </c>
      <c r="C7" s="1"/>
      <c r="D7" t="s">
        <v>10</v>
      </c>
    </row>
    <row r="8" spans="1:6" ht="15.75" x14ac:dyDescent="0.3">
      <c r="A8" t="s">
        <v>6</v>
      </c>
      <c r="B8" s="2">
        <v>6.8500000000000005E-2</v>
      </c>
      <c r="C8" s="2"/>
      <c r="D8" t="s">
        <v>11</v>
      </c>
    </row>
    <row r="9" spans="1:6" ht="15.75" x14ac:dyDescent="0.3">
      <c r="A9" t="s">
        <v>7</v>
      </c>
      <c r="B9" s="2">
        <v>0.06</v>
      </c>
      <c r="C9" s="2"/>
      <c r="D9" t="s">
        <v>12</v>
      </c>
    </row>
    <row r="10" spans="1:6" x14ac:dyDescent="0.25">
      <c r="A10" t="s">
        <v>8</v>
      </c>
      <c r="B10" s="1">
        <v>0.05</v>
      </c>
      <c r="C10" s="1"/>
      <c r="D10" t="s">
        <v>13</v>
      </c>
    </row>
    <row r="12" spans="1:6" ht="15.75" x14ac:dyDescent="0.25">
      <c r="A12" s="16" t="s">
        <v>14</v>
      </c>
      <c r="B12" s="16"/>
      <c r="C12" s="16"/>
      <c r="D12" s="16"/>
      <c r="E12" s="16"/>
      <c r="F12" s="16"/>
    </row>
    <row r="13" spans="1:6" x14ac:dyDescent="0.25">
      <c r="A13" t="s">
        <v>15</v>
      </c>
      <c r="B13" s="1">
        <v>0.05</v>
      </c>
      <c r="C13" t="s">
        <v>21</v>
      </c>
    </row>
    <row r="14" spans="1:6" x14ac:dyDescent="0.25">
      <c r="A14" t="s">
        <v>16</v>
      </c>
      <c r="B14" s="1">
        <v>0.08</v>
      </c>
      <c r="C14" t="s">
        <v>22</v>
      </c>
    </row>
    <row r="15" spans="1:6" x14ac:dyDescent="0.25">
      <c r="A15" t="s">
        <v>17</v>
      </c>
      <c r="B15" s="1">
        <v>7.4999999999999997E-2</v>
      </c>
      <c r="C15" t="s">
        <v>23</v>
      </c>
    </row>
    <row r="16" spans="1:6" x14ac:dyDescent="0.25">
      <c r="A16" t="s">
        <v>18</v>
      </c>
      <c r="B16" s="1">
        <v>0.03</v>
      </c>
      <c r="C16" t="s">
        <v>24</v>
      </c>
    </row>
    <row r="18" spans="1:6" x14ac:dyDescent="0.25">
      <c r="A18" t="s">
        <v>19</v>
      </c>
      <c r="B18" s="3">
        <v>64120</v>
      </c>
      <c r="C18" t="s">
        <v>20</v>
      </c>
    </row>
    <row r="20" spans="1:6" ht="15.75" x14ac:dyDescent="0.25">
      <c r="A20" s="16" t="s">
        <v>25</v>
      </c>
      <c r="B20" s="16"/>
      <c r="C20" s="16"/>
      <c r="D20" s="16"/>
      <c r="E20" s="16"/>
      <c r="F20" s="16"/>
    </row>
    <row r="21" spans="1:6" ht="15.75" x14ac:dyDescent="0.3">
      <c r="A21" t="s">
        <v>26</v>
      </c>
      <c r="B21" s="2">
        <v>0.495</v>
      </c>
      <c r="C21" t="s">
        <v>32</v>
      </c>
    </row>
    <row r="22" spans="1:6" x14ac:dyDescent="0.25">
      <c r="A22" t="s">
        <v>27</v>
      </c>
      <c r="B22" s="1">
        <v>0.23</v>
      </c>
      <c r="C22" t="s">
        <v>33</v>
      </c>
    </row>
    <row r="23" spans="1:6" x14ac:dyDescent="0.25">
      <c r="A23" t="s">
        <v>28</v>
      </c>
      <c r="B23" s="1">
        <v>2.5000000000000001E-2</v>
      </c>
      <c r="C23" t="s">
        <v>34</v>
      </c>
    </row>
    <row r="24" spans="1:6" x14ac:dyDescent="0.25">
      <c r="A24" t="s">
        <v>29</v>
      </c>
      <c r="B24" s="1">
        <f>B22-B23</f>
        <v>0.20500000000000002</v>
      </c>
      <c r="C24" t="s">
        <v>35</v>
      </c>
    </row>
    <row r="25" spans="1:6" x14ac:dyDescent="0.25">
      <c r="A25" t="s">
        <v>30</v>
      </c>
      <c r="B25" s="1">
        <v>0.25</v>
      </c>
      <c r="C25" t="s">
        <v>36</v>
      </c>
    </row>
    <row r="26" spans="1:6" x14ac:dyDescent="0.25">
      <c r="A26" t="s">
        <v>31</v>
      </c>
      <c r="B26" s="3">
        <v>1200</v>
      </c>
      <c r="C26" t="s">
        <v>37</v>
      </c>
    </row>
    <row r="29" spans="1:6" ht="15.75" x14ac:dyDescent="0.25">
      <c r="A29" s="16" t="s">
        <v>38</v>
      </c>
      <c r="B29" s="16"/>
      <c r="C29" s="16"/>
      <c r="D29" s="16"/>
      <c r="E29" s="16"/>
      <c r="F29" s="16"/>
    </row>
    <row r="30" spans="1:6" x14ac:dyDescent="0.25">
      <c r="A30" t="s">
        <v>39</v>
      </c>
      <c r="B30">
        <v>12</v>
      </c>
      <c r="C30" t="s">
        <v>43</v>
      </c>
    </row>
    <row r="31" spans="1:6" x14ac:dyDescent="0.25">
      <c r="A31" t="s">
        <v>40</v>
      </c>
      <c r="B31">
        <v>38</v>
      </c>
      <c r="C31" t="s">
        <v>44</v>
      </c>
    </row>
    <row r="32" spans="1:6" ht="15.75" x14ac:dyDescent="0.3">
      <c r="A32" t="s">
        <v>41</v>
      </c>
      <c r="B32" s="4">
        <v>67</v>
      </c>
      <c r="C32" t="s">
        <v>45</v>
      </c>
    </row>
    <row r="33" spans="1:6" x14ac:dyDescent="0.25">
      <c r="A33" t="s">
        <v>42</v>
      </c>
      <c r="B33">
        <f>B30+B31-B32</f>
        <v>-17</v>
      </c>
      <c r="C33" t="s">
        <v>46</v>
      </c>
    </row>
    <row r="36" spans="1:6" x14ac:dyDescent="0.25">
      <c r="A36" s="15" t="s">
        <v>47</v>
      </c>
      <c r="B36" s="15"/>
      <c r="C36" s="15"/>
      <c r="D36" s="15"/>
      <c r="E36" s="15"/>
      <c r="F36" s="15"/>
    </row>
    <row r="37" spans="1:6" ht="15.75" x14ac:dyDescent="0.3">
      <c r="A37" t="s">
        <v>48</v>
      </c>
      <c r="B37" s="2">
        <v>2.8000000000000001E-2</v>
      </c>
      <c r="C37" t="s">
        <v>50</v>
      </c>
    </row>
    <row r="38" spans="1:6" x14ac:dyDescent="0.25">
      <c r="A38" t="s">
        <v>49</v>
      </c>
      <c r="B38" s="1">
        <v>2.5000000000000001E-2</v>
      </c>
      <c r="C38" t="s">
        <v>34</v>
      </c>
    </row>
    <row r="41" spans="1:6" ht="15.75" x14ac:dyDescent="0.25">
      <c r="A41" s="16" t="s">
        <v>51</v>
      </c>
      <c r="B41" s="16"/>
      <c r="C41" s="16"/>
      <c r="D41" s="16"/>
      <c r="E41" s="16"/>
      <c r="F41" s="16"/>
    </row>
    <row r="42" spans="1:6" ht="15.75" x14ac:dyDescent="0.3">
      <c r="A42" t="s">
        <v>52</v>
      </c>
      <c r="B42" s="2">
        <v>6.8500000000000005E-2</v>
      </c>
    </row>
    <row r="43" spans="1:6" ht="15.75" x14ac:dyDescent="0.3">
      <c r="A43" t="s">
        <v>53</v>
      </c>
      <c r="B43" s="2">
        <f>B9</f>
        <v>0.06</v>
      </c>
    </row>
    <row r="44" spans="1:6" x14ac:dyDescent="0.25">
      <c r="A44" t="s">
        <v>54</v>
      </c>
      <c r="B44">
        <v>0.55000000000000004</v>
      </c>
    </row>
    <row r="45" spans="1:6" x14ac:dyDescent="0.25">
      <c r="A45" t="s">
        <v>55</v>
      </c>
      <c r="B45">
        <f>B42+(B44*B43)</f>
        <v>0.10150000000000001</v>
      </c>
    </row>
    <row r="46" spans="1:6" x14ac:dyDescent="0.25">
      <c r="A46" t="s">
        <v>56</v>
      </c>
      <c r="B46" s="1">
        <v>7.4999999999999997E-2</v>
      </c>
    </row>
    <row r="47" spans="1:6" x14ac:dyDescent="0.25">
      <c r="A47" t="s">
        <v>57</v>
      </c>
      <c r="B47" s="1">
        <f>B25</f>
        <v>0.25</v>
      </c>
    </row>
    <row r="48" spans="1:6" x14ac:dyDescent="0.25">
      <c r="A48" t="s">
        <v>58</v>
      </c>
      <c r="B48">
        <f>B46*(1-B47)</f>
        <v>5.6249999999999994E-2</v>
      </c>
    </row>
    <row r="49" spans="1:2" x14ac:dyDescent="0.25">
      <c r="A49" t="s">
        <v>59</v>
      </c>
      <c r="B49" s="5">
        <v>0.02</v>
      </c>
    </row>
    <row r="50" spans="1:2" ht="15.75" x14ac:dyDescent="0.3">
      <c r="A50" t="s">
        <v>60</v>
      </c>
      <c r="B50" s="6">
        <f>1-B49</f>
        <v>0.98</v>
      </c>
    </row>
    <row r="51" spans="1:2" x14ac:dyDescent="0.25">
      <c r="A51" t="s">
        <v>61</v>
      </c>
      <c r="B51">
        <f>B45*B50 + B48*B49</f>
        <v>0.100595</v>
      </c>
    </row>
  </sheetData>
  <mergeCells count="7">
    <mergeCell ref="A36:F36"/>
    <mergeCell ref="A41:F41"/>
    <mergeCell ref="A1:F1"/>
    <mergeCell ref="A5:F5"/>
    <mergeCell ref="A12:F12"/>
    <mergeCell ref="A20:F20"/>
    <mergeCell ref="A29:F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D11" sqref="D11"/>
    </sheetView>
  </sheetViews>
  <sheetFormatPr defaultRowHeight="15" x14ac:dyDescent="0.25"/>
  <cols>
    <col min="4" max="4" width="12.7109375" bestFit="1" customWidth="1"/>
  </cols>
  <sheetData>
    <row r="1" spans="1:9" ht="15.75" x14ac:dyDescent="0.25">
      <c r="A1" s="16" t="s">
        <v>62</v>
      </c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17" t="s">
        <v>63</v>
      </c>
      <c r="B2" s="17"/>
      <c r="C2" s="17"/>
      <c r="D2" s="17"/>
      <c r="E2" s="17"/>
      <c r="F2" s="17"/>
      <c r="G2" s="17"/>
      <c r="H2" s="17"/>
      <c r="I2" s="17"/>
    </row>
    <row r="4" spans="1:9" x14ac:dyDescent="0.25">
      <c r="A4" s="7" t="s">
        <v>64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  <c r="I4" s="8" t="s">
        <v>72</v>
      </c>
    </row>
    <row r="5" spans="1:9" ht="15.75" x14ac:dyDescent="0.3">
      <c r="A5" s="9" t="s">
        <v>73</v>
      </c>
      <c r="B5" s="11">
        <v>21897</v>
      </c>
      <c r="C5" s="12">
        <v>21900</v>
      </c>
      <c r="D5" s="11">
        <v>22972</v>
      </c>
      <c r="E5" s="9">
        <f>D5*(1+Assumptions!$B$13)</f>
        <v>24120.600000000002</v>
      </c>
      <c r="F5" s="9">
        <f>E5*(1+Assumptions!$B$13)</f>
        <v>25326.630000000005</v>
      </c>
      <c r="G5" s="9">
        <f>F5*(1+Assumptions!$B$13)</f>
        <v>26592.961500000005</v>
      </c>
      <c r="H5" s="9">
        <f>G5*(1+Assumptions!$B$13)</f>
        <v>27922.609575000006</v>
      </c>
      <c r="I5" s="9">
        <f>H5*(1+Assumptions!$B$13)</f>
        <v>29318.740053750007</v>
      </c>
    </row>
    <row r="6" spans="1:9" ht="15.75" x14ac:dyDescent="0.3">
      <c r="A6" s="9" t="s">
        <v>74</v>
      </c>
      <c r="B6" s="11">
        <v>22042</v>
      </c>
      <c r="C6" s="12">
        <v>22165</v>
      </c>
      <c r="D6" s="12">
        <v>22448</v>
      </c>
      <c r="E6" s="9">
        <f>D6*(1+Assumptions!$B$14)</f>
        <v>24243.84</v>
      </c>
      <c r="F6" s="9">
        <f>E6*(1+Assumptions!$B$14)</f>
        <v>26183.3472</v>
      </c>
      <c r="G6" s="9">
        <f>F6*(1+Assumptions!$B$14)</f>
        <v>28278.014976000002</v>
      </c>
      <c r="H6" s="9">
        <f>G6*(1+Assumptions!$B$14)</f>
        <v>30540.256174080005</v>
      </c>
      <c r="I6" s="9">
        <f>H6*(1+Assumptions!$B$14)</f>
        <v>32983.476668006406</v>
      </c>
    </row>
    <row r="7" spans="1:9" ht="15.75" x14ac:dyDescent="0.3">
      <c r="A7" s="10" t="s">
        <v>75</v>
      </c>
      <c r="B7" s="12">
        <v>15624</v>
      </c>
      <c r="C7" s="12">
        <v>17831</v>
      </c>
      <c r="D7" s="11">
        <v>16900</v>
      </c>
      <c r="E7" s="9">
        <f>D7*(1+Assumptions!$B$15)</f>
        <v>18167.5</v>
      </c>
      <c r="F7" s="9">
        <f>E7*(1+Assumptions!$B$15)</f>
        <v>19530.0625</v>
      </c>
      <c r="G7" s="9">
        <f>F7*(1+Assumptions!$B$15)</f>
        <v>20994.817187500001</v>
      </c>
      <c r="H7" s="9">
        <f>G7*(1+Assumptions!$B$15)</f>
        <v>22569.428476562502</v>
      </c>
      <c r="I7" s="9">
        <f>H7*(1+Assumptions!$B$15)</f>
        <v>24262.13561230469</v>
      </c>
    </row>
    <row r="8" spans="1:9" ht="15.75" x14ac:dyDescent="0.3">
      <c r="A8" s="9" t="s">
        <v>76</v>
      </c>
      <c r="B8" s="12">
        <v>1017</v>
      </c>
      <c r="C8" s="11">
        <v>2227</v>
      </c>
      <c r="D8" s="11">
        <v>1800</v>
      </c>
      <c r="E8" s="9">
        <f>D8*(1+Assumptions!$B$16)</f>
        <v>1854</v>
      </c>
      <c r="F8" s="9">
        <f>E8*(1+Assumptions!$B$16)</f>
        <v>1909.6200000000001</v>
      </c>
      <c r="G8" s="9">
        <f>F8*(1+Assumptions!$B$16)</f>
        <v>1966.9086000000002</v>
      </c>
      <c r="H8" s="9">
        <f>G8*(1+Assumptions!$B$16)</f>
        <v>2025.9158580000003</v>
      </c>
      <c r="I8" s="9">
        <f>H8*(1+Assumptions!$B$16)</f>
        <v>2086.6933337400005</v>
      </c>
    </row>
    <row r="9" spans="1:9" ht="15.75" x14ac:dyDescent="0.3">
      <c r="A9" s="9" t="s">
        <v>77</v>
      </c>
      <c r="B9" s="12">
        <f>SUM(B5:B8)</f>
        <v>60580</v>
      </c>
      <c r="C9" s="12">
        <f>SUM(C5:C8)</f>
        <v>64123</v>
      </c>
      <c r="D9" s="12">
        <f>SUM(D5:D8)</f>
        <v>64120</v>
      </c>
      <c r="E9" s="9">
        <f>SUM(E5:E8)</f>
        <v>68385.94</v>
      </c>
      <c r="F9" s="9">
        <f t="shared" ref="F9:I9" si="0">SUM(F5:F8)</f>
        <v>72949.659700000004</v>
      </c>
      <c r="G9" s="9">
        <f t="shared" si="0"/>
        <v>77832.702263500003</v>
      </c>
      <c r="H9" s="9">
        <f t="shared" si="0"/>
        <v>83058.210083642509</v>
      </c>
      <c r="I9" s="9">
        <f t="shared" si="0"/>
        <v>88651.045667801096</v>
      </c>
    </row>
    <row r="10" spans="1:9" ht="15.75" x14ac:dyDescent="0.3">
      <c r="A10" s="9" t="s">
        <v>78</v>
      </c>
      <c r="B10" t="s">
        <v>79</v>
      </c>
      <c r="C10" s="10">
        <f>(C9/B9)-1</f>
        <v>5.8484648398811512E-2</v>
      </c>
      <c r="D10" s="9">
        <f>(D9/C9)-1</f>
        <v>-4.6785084914957586E-5</v>
      </c>
      <c r="E10" s="9">
        <f>(E9/D9)-1</f>
        <v>6.6530567685589626E-2</v>
      </c>
      <c r="F10" s="9">
        <f t="shared" ref="F10:I10" si="1">(F9/E9)-1</f>
        <v>6.6734765947503272E-2</v>
      </c>
      <c r="G10" s="9">
        <f t="shared" si="1"/>
        <v>6.6937153423074935E-2</v>
      </c>
      <c r="H10" s="9">
        <f t="shared" si="1"/>
        <v>6.7137689790747856E-2</v>
      </c>
      <c r="I10" s="9">
        <f t="shared" si="1"/>
        <v>6.7336336510579908E-2</v>
      </c>
    </row>
  </sheetData>
  <mergeCells count="2">
    <mergeCell ref="A1:I1"/>
    <mergeCell ref="A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J12" sqref="J12"/>
    </sheetView>
  </sheetViews>
  <sheetFormatPr defaultRowHeight="15" x14ac:dyDescent="0.25"/>
  <sheetData>
    <row r="1" spans="1:9" ht="15.75" x14ac:dyDescent="0.25">
      <c r="A1" s="18" t="s">
        <v>80</v>
      </c>
      <c r="B1" s="18"/>
      <c r="C1" s="18"/>
      <c r="D1" s="18"/>
      <c r="E1" s="18"/>
      <c r="F1" s="18"/>
      <c r="G1" s="18"/>
      <c r="H1" s="18"/>
      <c r="I1" s="18"/>
    </row>
    <row r="2" spans="1:9" ht="15.75" x14ac:dyDescent="0.3">
      <c r="A2" s="19" t="s">
        <v>63</v>
      </c>
      <c r="B2" s="19"/>
      <c r="C2" s="19"/>
      <c r="D2" s="19"/>
      <c r="E2" s="19"/>
      <c r="F2" s="19"/>
      <c r="G2" s="19"/>
      <c r="H2" s="19"/>
      <c r="I2" s="19"/>
    </row>
    <row r="4" spans="1:9" ht="15.75" x14ac:dyDescent="0.3">
      <c r="A4" s="7" t="s">
        <v>81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13" t="s">
        <v>70</v>
      </c>
      <c r="H4" s="7" t="s">
        <v>71</v>
      </c>
      <c r="I4" s="8" t="s">
        <v>72</v>
      </c>
    </row>
    <row r="5" spans="1:9" ht="15.75" x14ac:dyDescent="0.3">
      <c r="A5" s="9" t="s">
        <v>82</v>
      </c>
      <c r="B5" s="12">
        <v>60580</v>
      </c>
      <c r="C5" s="11">
        <v>64123</v>
      </c>
      <c r="D5" s="11">
        <v>64120</v>
      </c>
      <c r="E5" s="9">
        <f>Revenue!E9</f>
        <v>68385.94</v>
      </c>
      <c r="F5" s="9">
        <f>Revenue!F9</f>
        <v>72949.659700000004</v>
      </c>
      <c r="G5" s="9">
        <f>Revenue!G9</f>
        <v>77832.702263500003</v>
      </c>
      <c r="H5" s="9">
        <f>Revenue!H9</f>
        <v>83058.210083642509</v>
      </c>
      <c r="I5" s="9">
        <f>Revenue!I9</f>
        <v>88651.045667801096</v>
      </c>
    </row>
    <row r="6" spans="1:9" x14ac:dyDescent="0.25">
      <c r="A6" s="9" t="s">
        <v>83</v>
      </c>
      <c r="B6" s="11">
        <v>28172</v>
      </c>
      <c r="C6" s="11">
        <v>31185</v>
      </c>
      <c r="D6" s="11">
        <v>31932</v>
      </c>
      <c r="E6" s="9">
        <f>E5*Assumptions!$B$21</f>
        <v>33851.040300000001</v>
      </c>
      <c r="F6" s="9">
        <f>F5*Assumptions!$B$21</f>
        <v>36110.081551499999</v>
      </c>
      <c r="G6" s="9">
        <f>G5*Assumptions!$B$21</f>
        <v>38527.187620432502</v>
      </c>
      <c r="H6" s="9">
        <f>H5*Assumptions!$B$21</f>
        <v>41113.81399140304</v>
      </c>
      <c r="I6" s="9">
        <f>I5*Assumptions!$B$21</f>
        <v>43882.267605561545</v>
      </c>
    </row>
    <row r="7" spans="1:9" ht="15.75" x14ac:dyDescent="0.3">
      <c r="A7" s="10" t="s">
        <v>26</v>
      </c>
      <c r="B7" s="14">
        <f>B6/B5</f>
        <v>0.46503796632551997</v>
      </c>
      <c r="C7" s="14">
        <f>C6/C5</f>
        <v>0.48633095769068818</v>
      </c>
      <c r="D7" s="14">
        <f>D6/D5</f>
        <v>0.49800374298190891</v>
      </c>
      <c r="E7" s="14">
        <f>E6/E5</f>
        <v>0.495</v>
      </c>
      <c r="F7" s="14">
        <f t="shared" ref="F7:I7" si="0">F6/F5</f>
        <v>0.49499999999999994</v>
      </c>
      <c r="G7" s="14">
        <f t="shared" si="0"/>
        <v>0.495</v>
      </c>
      <c r="H7" s="14">
        <f t="shared" si="0"/>
        <v>0.495</v>
      </c>
      <c r="I7" s="14">
        <f t="shared" si="0"/>
        <v>0.49500000000000005</v>
      </c>
    </row>
    <row r="8" spans="1:9" x14ac:dyDescent="0.25">
      <c r="A8" s="9" t="s">
        <v>84</v>
      </c>
      <c r="B8" s="11">
        <v>13728</v>
      </c>
      <c r="C8" s="11">
        <v>14641</v>
      </c>
      <c r="D8" s="11">
        <v>15069</v>
      </c>
      <c r="E8" s="9">
        <f>E5*Assumptions!$B$22</f>
        <v>15728.766200000002</v>
      </c>
      <c r="F8" s="9">
        <f>F5*Assumptions!$B$22</f>
        <v>16778.421731000002</v>
      </c>
      <c r="G8" s="9">
        <f>G5*Assumptions!$B$22</f>
        <v>17901.521520605002</v>
      </c>
      <c r="H8" s="9">
        <f>H5*Assumptions!$B$22</f>
        <v>19103.388319237776</v>
      </c>
      <c r="I8" s="9">
        <f>I5*Assumptions!$B$22</f>
        <v>20389.740503594254</v>
      </c>
    </row>
    <row r="9" spans="1:9" x14ac:dyDescent="0.25">
      <c r="A9" s="9" t="s">
        <v>27</v>
      </c>
      <c r="B9" s="14">
        <f>B8/B5</f>
        <v>0.22660944206008585</v>
      </c>
      <c r="C9" s="14">
        <f>C8/C5</f>
        <v>0.22832680941315908</v>
      </c>
      <c r="D9" s="14">
        <f>D8/D5</f>
        <v>0.23501247660636307</v>
      </c>
      <c r="E9" s="14">
        <f>E8/E5</f>
        <v>0.23</v>
      </c>
      <c r="F9" s="14">
        <f t="shared" ref="F9:I9" si="1">F8/F5</f>
        <v>0.23</v>
      </c>
      <c r="G9" s="14">
        <f t="shared" si="1"/>
        <v>0.23</v>
      </c>
      <c r="H9" s="14">
        <f t="shared" si="1"/>
        <v>0.22999999999999998</v>
      </c>
      <c r="I9" s="14">
        <f t="shared" si="1"/>
        <v>0.23</v>
      </c>
    </row>
    <row r="10" spans="1:9" x14ac:dyDescent="0.25">
      <c r="A10" s="9" t="s">
        <v>85</v>
      </c>
      <c r="B10" s="11">
        <v>1422</v>
      </c>
      <c r="C10" s="11">
        <v>1531</v>
      </c>
      <c r="D10" s="11">
        <v>1620</v>
      </c>
      <c r="E10" s="9">
        <f>E5*Assumptions!$B$23</f>
        <v>1709.6485000000002</v>
      </c>
      <c r="F10" s="9">
        <f>F5*Assumptions!$B$23</f>
        <v>1823.7414925000003</v>
      </c>
      <c r="G10" s="9">
        <f>G5*Assumptions!$B$23</f>
        <v>1945.8175565875001</v>
      </c>
      <c r="H10" s="9">
        <f>H5*Assumptions!$B$23</f>
        <v>2076.4552520910629</v>
      </c>
      <c r="I10" s="9">
        <f>I5*Assumptions!$B$23</f>
        <v>2216.2761416950275</v>
      </c>
    </row>
    <row r="11" spans="1:9" x14ac:dyDescent="0.25">
      <c r="A11" s="9" t="s">
        <v>86</v>
      </c>
      <c r="B11" s="11">
        <f>B8-B10</f>
        <v>12306</v>
      </c>
      <c r="C11" s="11">
        <f>C8-C10</f>
        <v>13110</v>
      </c>
      <c r="D11" s="11">
        <f>D8-D10</f>
        <v>13449</v>
      </c>
      <c r="E11" s="9">
        <f>E8-E10</f>
        <v>14019.117700000003</v>
      </c>
      <c r="F11" s="9">
        <f t="shared" ref="F11:I11" si="2">F8-F10</f>
        <v>14954.680238500001</v>
      </c>
      <c r="G11" s="9">
        <f t="shared" si="2"/>
        <v>15955.703964017501</v>
      </c>
      <c r="H11" s="9">
        <f t="shared" si="2"/>
        <v>17026.933067146714</v>
      </c>
      <c r="I11" s="9">
        <f t="shared" si="2"/>
        <v>18173.464361899227</v>
      </c>
    </row>
    <row r="12" spans="1:9" x14ac:dyDescent="0.25">
      <c r="A12" s="9" t="s">
        <v>29</v>
      </c>
      <c r="B12" s="14">
        <f>B11/B5</f>
        <v>0.20313634862991087</v>
      </c>
      <c r="C12" s="14">
        <f>C11/C5</f>
        <v>0.20445082107824025</v>
      </c>
      <c r="D12" s="14">
        <f>D11/D5</f>
        <v>0.20974734872114784</v>
      </c>
      <c r="E12" s="14">
        <f>E11/E5</f>
        <v>0.20500000000000004</v>
      </c>
      <c r="F12" s="14">
        <f t="shared" ref="F12:I12" si="3">F11/F5</f>
        <v>0.20500000000000002</v>
      </c>
      <c r="G12" s="14">
        <f t="shared" si="3"/>
        <v>0.20500000000000002</v>
      </c>
      <c r="H12" s="14">
        <f t="shared" si="3"/>
        <v>0.20499999999999999</v>
      </c>
      <c r="I12" s="14">
        <f t="shared" si="3"/>
        <v>0.20500000000000002</v>
      </c>
    </row>
    <row r="13" spans="1:9" ht="15.75" x14ac:dyDescent="0.3">
      <c r="A13" s="10" t="s">
        <v>87</v>
      </c>
      <c r="B13" s="11">
        <v>1169</v>
      </c>
      <c r="C13" s="11">
        <v>1270</v>
      </c>
      <c r="D13" s="11">
        <v>1272</v>
      </c>
      <c r="E13" s="11">
        <f>Assumptions!$B$26</f>
        <v>1200</v>
      </c>
      <c r="F13" s="11">
        <f>Assumptions!$B$26</f>
        <v>1200</v>
      </c>
      <c r="G13" s="11">
        <f>Assumptions!$B$26</f>
        <v>1200</v>
      </c>
      <c r="H13" s="11">
        <f>Assumptions!$B$26</f>
        <v>1200</v>
      </c>
      <c r="I13" s="11">
        <f>Assumptions!$B$26</f>
        <v>1200</v>
      </c>
    </row>
    <row r="14" spans="1:9" ht="15.75" x14ac:dyDescent="0.3">
      <c r="A14" s="9" t="s">
        <v>88</v>
      </c>
      <c r="B14" s="12">
        <f>B11+B13</f>
        <v>13475</v>
      </c>
      <c r="C14" s="11">
        <f>C11+C13</f>
        <v>14380</v>
      </c>
      <c r="D14" s="11">
        <f>D11+D13</f>
        <v>14721</v>
      </c>
      <c r="E14" s="11">
        <f>E11+E13</f>
        <v>15219.117700000003</v>
      </c>
      <c r="F14" s="11">
        <f t="shared" ref="F14:I14" si="4">F11+F13</f>
        <v>16154.680238500001</v>
      </c>
      <c r="G14" s="11">
        <f t="shared" si="4"/>
        <v>17155.703964017499</v>
      </c>
      <c r="H14" s="11">
        <f t="shared" si="4"/>
        <v>18226.933067146714</v>
      </c>
      <c r="I14" s="11">
        <f t="shared" si="4"/>
        <v>19373.464361899227</v>
      </c>
    </row>
    <row r="15" spans="1:9" x14ac:dyDescent="0.25">
      <c r="A15" s="9" t="s">
        <v>89</v>
      </c>
      <c r="B15" s="9">
        <f>B14*Assumptions!$B$25</f>
        <v>3368.75</v>
      </c>
      <c r="C15" s="9">
        <f>C14*Assumptions!$B$25</f>
        <v>3595</v>
      </c>
      <c r="D15" s="9">
        <f>D14*Assumptions!$B$25</f>
        <v>3680.25</v>
      </c>
      <c r="E15" s="9">
        <f>E14*Assumptions!$B$25</f>
        <v>3804.7794250000006</v>
      </c>
      <c r="F15" s="9">
        <f>F14*Assumptions!$B$25</f>
        <v>4038.6700596250002</v>
      </c>
      <c r="G15" s="9">
        <f>G14*Assumptions!$B$25</f>
        <v>4288.9259910043747</v>
      </c>
      <c r="H15" s="9">
        <f>H14*Assumptions!$B$25</f>
        <v>4556.7332667866785</v>
      </c>
      <c r="I15" s="9">
        <f>I14*Assumptions!$B$25</f>
        <v>4843.3660904748067</v>
      </c>
    </row>
    <row r="16" spans="1:9" x14ac:dyDescent="0.25">
      <c r="A16" s="9" t="s">
        <v>90</v>
      </c>
      <c r="B16" s="11">
        <f>B14-B15</f>
        <v>10106.25</v>
      </c>
      <c r="C16" s="11">
        <f>C14-C15</f>
        <v>10785</v>
      </c>
      <c r="D16" s="11">
        <f>D14-D15</f>
        <v>11040.75</v>
      </c>
      <c r="E16" s="11">
        <f>E14-E15</f>
        <v>11414.338275000002</v>
      </c>
      <c r="F16" s="11">
        <f t="shared" ref="F16:I16" si="5">F14-F15</f>
        <v>12116.010178875</v>
      </c>
      <c r="G16" s="11">
        <f t="shared" si="5"/>
        <v>12866.777973013124</v>
      </c>
      <c r="H16" s="11">
        <f t="shared" si="5"/>
        <v>13670.199800360035</v>
      </c>
      <c r="I16" s="11">
        <f t="shared" si="5"/>
        <v>14530.09827142442</v>
      </c>
    </row>
    <row r="17" spans="1:9" x14ac:dyDescent="0.25">
      <c r="A17" s="9" t="s">
        <v>91</v>
      </c>
      <c r="B17" s="14">
        <f>B16/B5</f>
        <v>0.16682485968966657</v>
      </c>
      <c r="C17" s="14">
        <f>C16/C5</f>
        <v>0.16819238026917019</v>
      </c>
      <c r="D17" s="14">
        <f>D16/D5</f>
        <v>0.17218886462882096</v>
      </c>
      <c r="E17" s="14">
        <f>E16/E5</f>
        <v>0.16691059997128066</v>
      </c>
      <c r="F17" s="14">
        <f t="shared" ref="F17:I17" si="6">F16/F5</f>
        <v>0.16608727482350408</v>
      </c>
      <c r="G17" s="14">
        <f t="shared" si="6"/>
        <v>0.16531326291939702</v>
      </c>
      <c r="H17" s="14">
        <f t="shared" si="6"/>
        <v>0.16458577408053543</v>
      </c>
      <c r="I17" s="14">
        <f t="shared" si="6"/>
        <v>0.16390216451447781</v>
      </c>
    </row>
  </sheetData>
  <mergeCells count="2">
    <mergeCell ref="A1:I1"/>
    <mergeCell ref="A2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27" sqref="E27"/>
    </sheetView>
  </sheetViews>
  <sheetFormatPr defaultRowHeight="15" x14ac:dyDescent="0.25"/>
  <sheetData>
    <row r="1" spans="1:9" ht="15.75" x14ac:dyDescent="0.25">
      <c r="A1" s="18" t="s">
        <v>92</v>
      </c>
      <c r="B1" s="18"/>
      <c r="C1" s="18"/>
      <c r="D1" s="18"/>
      <c r="E1" s="18"/>
      <c r="F1" s="18"/>
      <c r="G1" s="18"/>
      <c r="H1" s="18"/>
      <c r="I1" s="18"/>
    </row>
    <row r="2" spans="1:9" ht="15.75" x14ac:dyDescent="0.25">
      <c r="A2" s="20" t="s">
        <v>63</v>
      </c>
      <c r="B2" s="20"/>
      <c r="C2" s="20"/>
      <c r="D2" s="20"/>
      <c r="E2" s="20"/>
      <c r="F2" s="20"/>
      <c r="G2" s="20"/>
      <c r="H2" s="20"/>
      <c r="I2" s="20"/>
    </row>
    <row r="4" spans="1:9" x14ac:dyDescent="0.25">
      <c r="A4" s="7" t="s">
        <v>81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  <c r="I4" s="7" t="s">
        <v>72</v>
      </c>
    </row>
    <row r="5" spans="1:9" x14ac:dyDescent="0.25">
      <c r="A5" s="7" t="s">
        <v>93</v>
      </c>
    </row>
    <row r="6" spans="1:9" x14ac:dyDescent="0.25">
      <c r="A6" s="9" t="s">
        <v>94</v>
      </c>
      <c r="B6" s="11">
        <v>5246</v>
      </c>
      <c r="C6" s="11">
        <v>5404</v>
      </c>
      <c r="D6" s="11">
        <v>5500</v>
      </c>
      <c r="E6" s="9">
        <f>D6 + (Revenue!E9*Assumptions!$B$37) - (Revenue!E9*Assumptions!$B$38)</f>
        <v>5705.1578199999994</v>
      </c>
      <c r="F6" s="9">
        <f>E6 + (Revenue!F9*Assumptions!$B$37) - (Revenue!F9*Assumptions!$B$38)</f>
        <v>5924.0067990999996</v>
      </c>
      <c r="G6" s="9">
        <f>F6 + (Revenue!G9*Assumptions!$B$37) - (Revenue!G9*Assumptions!$B$38)</f>
        <v>6157.5049058904997</v>
      </c>
      <c r="H6" s="9">
        <f>G6 + (Revenue!H9*Assumptions!$B$37) - (Revenue!H9*Assumptions!$B$38)</f>
        <v>6406.679536141427</v>
      </c>
      <c r="I6" s="9">
        <f>H6 + (Revenue!I9*Assumptions!$B$37) - (Revenue!I9*Assumptions!$B$38)</f>
        <v>6672.6326731448316</v>
      </c>
    </row>
    <row r="7" spans="1:9" ht="15.75" x14ac:dyDescent="0.3">
      <c r="A7" s="9" t="s">
        <v>95</v>
      </c>
      <c r="B7" s="10">
        <v>312</v>
      </c>
      <c r="C7" s="9">
        <v>289</v>
      </c>
      <c r="D7" s="9">
        <v>300</v>
      </c>
      <c r="E7" s="9">
        <f>D7</f>
        <v>300</v>
      </c>
      <c r="F7" s="9">
        <f t="shared" ref="F7:I7" si="0">E7</f>
        <v>300</v>
      </c>
      <c r="G7" s="9">
        <f t="shared" si="0"/>
        <v>300</v>
      </c>
      <c r="H7" s="9">
        <f t="shared" si="0"/>
        <v>300</v>
      </c>
      <c r="I7" s="9">
        <f t="shared" si="0"/>
        <v>300</v>
      </c>
    </row>
    <row r="8" spans="1:9" x14ac:dyDescent="0.25">
      <c r="A8" s="9" t="s">
        <v>96</v>
      </c>
      <c r="B8" s="11">
        <v>1820</v>
      </c>
      <c r="C8" s="11">
        <v>1690</v>
      </c>
      <c r="D8" s="11">
        <v>1850</v>
      </c>
      <c r="E8" s="9">
        <f>(Assumptions!$B$30/365)*'p&amp;l'!E5</f>
        <v>2248.3048767123287</v>
      </c>
      <c r="F8" s="9">
        <f>(Assumptions!$B$30/365)*'p&amp;l'!F5</f>
        <v>2398.3449764383558</v>
      </c>
      <c r="G8" s="9">
        <f>(Assumptions!$B$30/365)*'p&amp;l'!G5</f>
        <v>2558.8833620876712</v>
      </c>
      <c r="H8" s="9">
        <f>(Assumptions!$B$30/365)*'p&amp;l'!H5</f>
        <v>2730.6808794622193</v>
      </c>
      <c r="I8" s="9">
        <f>(Assumptions!$B$30/365)*'p&amp;l'!I5</f>
        <v>2914.5549260646931</v>
      </c>
    </row>
    <row r="9" spans="1:9" x14ac:dyDescent="0.25">
      <c r="A9" s="9" t="s">
        <v>97</v>
      </c>
      <c r="B9" s="11">
        <v>2980</v>
      </c>
      <c r="C9" s="11">
        <v>2830</v>
      </c>
      <c r="D9" s="11">
        <v>2950</v>
      </c>
      <c r="E9" s="9">
        <f>(Assumptions!$B$31/365)*'p&amp;l'!E5</f>
        <v>7119.6321095890416</v>
      </c>
      <c r="F9" s="9">
        <f>(Assumptions!$B$31/365)*'p&amp;l'!F5</f>
        <v>7594.7590920547955</v>
      </c>
      <c r="G9" s="9">
        <f>(Assumptions!$B$31/365)*'p&amp;l'!G5</f>
        <v>8103.130646610959</v>
      </c>
      <c r="H9" s="9">
        <f>(Assumptions!$B$31/365)*'p&amp;l'!H5</f>
        <v>8647.156118297029</v>
      </c>
      <c r="I9" s="9">
        <f>(Assumptions!$B$31/365)*'p&amp;l'!I5</f>
        <v>9229.4239325381968</v>
      </c>
    </row>
    <row r="10" spans="1:9" x14ac:dyDescent="0.25">
      <c r="A10" s="9" t="s">
        <v>98</v>
      </c>
      <c r="B10" s="11">
        <v>1243</v>
      </c>
      <c r="C10" s="11">
        <v>1484</v>
      </c>
      <c r="D10" s="11">
        <v>1600</v>
      </c>
      <c r="E10" s="11">
        <f>D10</f>
        <v>1600</v>
      </c>
      <c r="F10" s="11">
        <f t="shared" ref="F10:I10" si="1">E10</f>
        <v>1600</v>
      </c>
      <c r="G10" s="11">
        <f t="shared" si="1"/>
        <v>1600</v>
      </c>
      <c r="H10" s="11">
        <f t="shared" si="1"/>
        <v>1600</v>
      </c>
      <c r="I10" s="11">
        <f t="shared" si="1"/>
        <v>1600</v>
      </c>
    </row>
    <row r="11" spans="1:9" x14ac:dyDescent="0.25">
      <c r="A11" s="9" t="s">
        <v>99</v>
      </c>
      <c r="B11" s="11">
        <v>2100</v>
      </c>
      <c r="C11" s="11">
        <v>2200</v>
      </c>
      <c r="D11" s="11">
        <v>2300</v>
      </c>
      <c r="E11" s="9">
        <f>D11*(1+(Revenue!E9/Revenue!D9-1))</f>
        <v>2453.020305676856</v>
      </c>
      <c r="F11" s="9">
        <f>E11*(1+(Revenue!F9/Revenue!E9-1))</f>
        <v>2616.722041640674</v>
      </c>
      <c r="G11" s="9">
        <f>F11*(1+(Revenue!G9/Revenue!F9-1))</f>
        <v>2791.8779664075178</v>
      </c>
      <c r="H11" s="9">
        <f>G11*(1+(Revenue!H9/Revenue!G9-1))</f>
        <v>2979.3182032498098</v>
      </c>
      <c r="I11" s="9">
        <f>H11*(1+(Revenue!I9/Revenue!H9-1))</f>
        <v>3179.9345763559354</v>
      </c>
    </row>
    <row r="12" spans="1:9" x14ac:dyDescent="0.25">
      <c r="A12" s="9" t="s">
        <v>100</v>
      </c>
      <c r="B12" s="11">
        <f>SUM(B6:B11)</f>
        <v>13701</v>
      </c>
      <c r="C12" s="11">
        <f>SUM(C6:C11)</f>
        <v>13897</v>
      </c>
      <c r="D12" s="11">
        <f>SUM(D6:D11)</f>
        <v>14500</v>
      </c>
      <c r="E12" s="9">
        <f>SUM(E6:E11)</f>
        <v>19426.115111978226</v>
      </c>
      <c r="F12" s="9">
        <f t="shared" ref="F12:I12" si="2">SUM(F6:F11)</f>
        <v>20433.832909233824</v>
      </c>
      <c r="G12" s="9">
        <f t="shared" si="2"/>
        <v>21511.39688099665</v>
      </c>
      <c r="H12" s="9">
        <f t="shared" si="2"/>
        <v>22663.834737150486</v>
      </c>
      <c r="I12" s="9">
        <f t="shared" si="2"/>
        <v>23896.546108103659</v>
      </c>
    </row>
    <row r="14" spans="1:9" x14ac:dyDescent="0.25">
      <c r="A14" s="7" t="s">
        <v>101</v>
      </c>
    </row>
    <row r="15" spans="1:9" x14ac:dyDescent="0.25">
      <c r="A15" s="9" t="s">
        <v>102</v>
      </c>
      <c r="B15" s="11">
        <v>9834</v>
      </c>
      <c r="C15" s="11">
        <v>9972</v>
      </c>
      <c r="D15" s="11">
        <v>10200</v>
      </c>
      <c r="E15" s="9">
        <f>(Assumptions!$B$32/365)*'p&amp;l'!E5</f>
        <v>12553.035561643836</v>
      </c>
      <c r="F15" s="9">
        <f>(Assumptions!$B$32/365)*'p&amp;l'!F5</f>
        <v>13390.759451780823</v>
      </c>
      <c r="G15" s="9">
        <f>(Assumptions!$B$32/365)*'p&amp;l'!G5</f>
        <v>14287.098771656165</v>
      </c>
      <c r="H15" s="9">
        <f>(Assumptions!$B$32/365)*'p&amp;l'!H5</f>
        <v>15246.301576997392</v>
      </c>
      <c r="I15" s="9">
        <f>(Assumptions!$B$32/365)*'p&amp;l'!I5</f>
        <v>16272.931670527872</v>
      </c>
    </row>
    <row r="16" spans="1:9" ht="15.75" x14ac:dyDescent="0.3">
      <c r="A16" s="9" t="s">
        <v>103</v>
      </c>
      <c r="B16" s="9">
        <v>148</v>
      </c>
      <c r="C16" s="9">
        <v>78</v>
      </c>
      <c r="D16" s="10">
        <v>50</v>
      </c>
      <c r="E16" s="9">
        <f>0</f>
        <v>0</v>
      </c>
      <c r="F16" s="9">
        <f>0</f>
        <v>0</v>
      </c>
      <c r="G16" s="9">
        <f>0</f>
        <v>0</v>
      </c>
      <c r="H16" s="9">
        <f>0</f>
        <v>0</v>
      </c>
      <c r="I16" s="9">
        <f>0</f>
        <v>0</v>
      </c>
    </row>
    <row r="17" spans="1:9" x14ac:dyDescent="0.25">
      <c r="A17" s="9" t="s">
        <v>104</v>
      </c>
      <c r="B17" s="11">
        <v>3200</v>
      </c>
      <c r="C17" s="11">
        <v>3400</v>
      </c>
      <c r="D17" s="11">
        <v>3500</v>
      </c>
      <c r="E17" s="9">
        <f>D17*(1+(Revenue!E9/Revenue!D9-1))</f>
        <v>3732.8569868995637</v>
      </c>
      <c r="F17" s="9">
        <f>E17*(1+(Revenue!F9/Revenue!E9-1))</f>
        <v>3981.9683242358083</v>
      </c>
      <c r="G17" s="9">
        <f>F17*(1+(Revenue!G9/Revenue!F9-1))</f>
        <v>4248.5099488810056</v>
      </c>
      <c r="H17" s="9">
        <f>G17*(1+(Revenue!H9/Revenue!G9-1))</f>
        <v>4533.7450919018847</v>
      </c>
      <c r="I17" s="9">
        <f>H17*(1+(Revenue!I9/Revenue!H9-1))</f>
        <v>4839.0308770633801</v>
      </c>
    </row>
    <row r="18" spans="1:9" x14ac:dyDescent="0.25">
      <c r="A18" s="9" t="s">
        <v>105</v>
      </c>
      <c r="B18" s="11">
        <v>10354</v>
      </c>
      <c r="C18" s="11">
        <v>10521</v>
      </c>
      <c r="D18" s="11">
        <v>10800</v>
      </c>
      <c r="E18" s="9">
        <f>D18 + ('p&amp;l'!E16*0.05)</f>
        <v>11370.71691375</v>
      </c>
      <c r="F18" s="9">
        <f>E18 + ('p&amp;l'!F16*0.05)</f>
        <v>11976.517422693751</v>
      </c>
      <c r="G18" s="9">
        <f>F18 + ('p&amp;l'!G16*0.05)</f>
        <v>12619.856321344407</v>
      </c>
      <c r="H18" s="9">
        <f>G18 + ('p&amp;l'!H16*0.05)</f>
        <v>13303.366311362408</v>
      </c>
      <c r="I18" s="9">
        <f>H18 + ('p&amp;l'!I16*0.05)</f>
        <v>14029.871224933629</v>
      </c>
    </row>
    <row r="19" spans="1:9" ht="15.75" x14ac:dyDescent="0.3">
      <c r="A19" s="9" t="s">
        <v>106</v>
      </c>
      <c r="B19" s="11">
        <f>SUM(B15:B18)</f>
        <v>23536</v>
      </c>
      <c r="C19" s="12">
        <f>SUM(C15:C18)</f>
        <v>23971</v>
      </c>
      <c r="D19" s="11">
        <f>SUM(D15:D18)</f>
        <v>24550</v>
      </c>
      <c r="E19" s="9">
        <f>SUM(E15:E18)</f>
        <v>27656.6094622934</v>
      </c>
      <c r="F19" s="9">
        <f t="shared" ref="F19:I19" si="3">SUM(F15:F18)</f>
        <v>29349.245198710385</v>
      </c>
      <c r="G19" s="9">
        <f t="shared" si="3"/>
        <v>31155.465041881576</v>
      </c>
      <c r="H19" s="9">
        <f t="shared" si="3"/>
        <v>33083.412980261681</v>
      </c>
      <c r="I19" s="9">
        <f t="shared" si="3"/>
        <v>35141.833772524886</v>
      </c>
    </row>
    <row r="21" spans="1:9" x14ac:dyDescent="0.25">
      <c r="A21" s="9" t="s">
        <v>107</v>
      </c>
      <c r="B21" s="9"/>
    </row>
    <row r="22" spans="1:9" x14ac:dyDescent="0.25">
      <c r="A22" s="9" t="s">
        <v>108</v>
      </c>
      <c r="B22" s="9"/>
    </row>
    <row r="23" spans="1:9" x14ac:dyDescent="0.25">
      <c r="A23" s="9" t="s">
        <v>109</v>
      </c>
      <c r="B23" s="9">
        <f>E8+E9-E15</f>
        <v>-3185.0985753424648</v>
      </c>
    </row>
    <row r="25" spans="1:9" x14ac:dyDescent="0.25">
      <c r="A25" s="9" t="s">
        <v>110</v>
      </c>
      <c r="B25" s="9"/>
      <c r="C25" s="9"/>
      <c r="D25" s="9"/>
      <c r="E25" s="9">
        <f>Revenue!E9*Assumptions!$B$37</f>
        <v>1914.8063200000001</v>
      </c>
      <c r="F25" s="9">
        <f>Revenue!F9*Assumptions!$B$37</f>
        <v>2042.5904716000002</v>
      </c>
      <c r="G25" s="9">
        <f>Revenue!G9*Assumptions!$B$37</f>
        <v>2179.315663378</v>
      </c>
      <c r="H25" s="9">
        <f>Revenue!H9*Assumptions!$B$37</f>
        <v>2325.6298823419902</v>
      </c>
      <c r="I25" s="9">
        <f>Revenue!I9*Assumptions!$B$37</f>
        <v>2482.2292786984308</v>
      </c>
    </row>
    <row r="26" spans="1:9" x14ac:dyDescent="0.25">
      <c r="A26" s="9" t="s">
        <v>111</v>
      </c>
      <c r="B26" s="9"/>
      <c r="C26" s="9"/>
      <c r="D26" s="11">
        <f>D8+D9-D15</f>
        <v>-5400</v>
      </c>
      <c r="E26" s="9">
        <f>E8+E9-E15</f>
        <v>-3185.0985753424648</v>
      </c>
      <c r="F26" s="9">
        <f t="shared" ref="F26:I26" si="4">F8+F9-F15</f>
        <v>-3397.6553832876725</v>
      </c>
      <c r="G26" s="9">
        <f t="shared" si="4"/>
        <v>-3625.0847629575346</v>
      </c>
      <c r="H26" s="9">
        <f t="shared" si="4"/>
        <v>-3868.4645792381434</v>
      </c>
      <c r="I26" s="9">
        <f t="shared" si="4"/>
        <v>-4128.9528119249826</v>
      </c>
    </row>
    <row r="27" spans="1:9" x14ac:dyDescent="0.25">
      <c r="A27" s="9" t="s">
        <v>112</v>
      </c>
      <c r="B27" s="9"/>
      <c r="C27" s="9"/>
      <c r="D27" s="9"/>
      <c r="E27" s="9">
        <f>E26-D26</f>
        <v>2214.9014246575352</v>
      </c>
      <c r="F27" s="9">
        <f t="shared" ref="F27:I27" si="5">F26-E26</f>
        <v>-212.55680794520777</v>
      </c>
      <c r="G27" s="9">
        <f t="shared" si="5"/>
        <v>-227.4293796698621</v>
      </c>
      <c r="H27" s="9">
        <f t="shared" si="5"/>
        <v>-243.37981628060879</v>
      </c>
      <c r="I27" s="9">
        <f t="shared" si="5"/>
        <v>-260.48823268683918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J3" sqref="J3"/>
    </sheetView>
  </sheetViews>
  <sheetFormatPr defaultRowHeight="15" x14ac:dyDescent="0.25"/>
  <sheetData>
    <row r="1" spans="1:9" ht="15.75" x14ac:dyDescent="0.25">
      <c r="A1" s="18" t="s">
        <v>113</v>
      </c>
      <c r="B1" s="18"/>
      <c r="C1" s="18"/>
      <c r="D1" s="18"/>
      <c r="E1" s="18"/>
      <c r="F1" s="18"/>
      <c r="G1" s="18"/>
      <c r="H1" s="18"/>
      <c r="I1" s="18"/>
    </row>
    <row r="2" spans="1:9" ht="15.75" x14ac:dyDescent="0.25">
      <c r="A2" s="20" t="s">
        <v>63</v>
      </c>
      <c r="B2" s="20"/>
      <c r="C2" s="20"/>
      <c r="D2" s="20"/>
      <c r="E2" s="20"/>
      <c r="F2" s="20"/>
      <c r="G2" s="20"/>
      <c r="H2" s="20"/>
      <c r="I2" s="20"/>
    </row>
    <row r="4" spans="1:9" x14ac:dyDescent="0.25">
      <c r="A4" s="7" t="s">
        <v>81</v>
      </c>
      <c r="E4" s="7" t="s">
        <v>68</v>
      </c>
      <c r="F4" s="7" t="s">
        <v>69</v>
      </c>
      <c r="G4" s="7" t="s">
        <v>70</v>
      </c>
      <c r="H4" s="7" t="s">
        <v>71</v>
      </c>
      <c r="I4" s="7" t="s">
        <v>72</v>
      </c>
    </row>
    <row r="5" spans="1:9" x14ac:dyDescent="0.25">
      <c r="A5" s="9" t="s">
        <v>86</v>
      </c>
      <c r="B5" s="9"/>
      <c r="C5" s="9"/>
      <c r="D5" s="9"/>
      <c r="E5" s="9">
        <f>('p&amp;l'!E11)</f>
        <v>14019.117700000003</v>
      </c>
      <c r="F5" s="9">
        <f>('p&amp;l'!F11)</f>
        <v>14954.680238500001</v>
      </c>
      <c r="G5" s="9">
        <f>('p&amp;l'!G11)</f>
        <v>15955.703964017501</v>
      </c>
      <c r="H5" s="9">
        <f>('p&amp;l'!H11)</f>
        <v>17026.933067146714</v>
      </c>
      <c r="I5" s="9">
        <f>('p&amp;l'!I11)</f>
        <v>18173.464361899227</v>
      </c>
    </row>
    <row r="6" spans="1:9" x14ac:dyDescent="0.25">
      <c r="A6" s="9" t="s">
        <v>114</v>
      </c>
      <c r="B6" s="9"/>
      <c r="C6" s="9"/>
      <c r="D6" s="9"/>
      <c r="E6" s="9">
        <f>E5*Assumptions!$B$25</f>
        <v>3504.7794250000006</v>
      </c>
      <c r="F6" s="9">
        <f>F5*Assumptions!$B$25</f>
        <v>3738.6700596250002</v>
      </c>
      <c r="G6" s="9">
        <f>G5*Assumptions!$B$25</f>
        <v>3988.9259910043752</v>
      </c>
      <c r="H6" s="9">
        <f>H5*Assumptions!$B$25</f>
        <v>4256.7332667866785</v>
      </c>
      <c r="I6" s="9">
        <f>I5*Assumptions!$B$25</f>
        <v>4543.3660904748067</v>
      </c>
    </row>
    <row r="7" spans="1:9" x14ac:dyDescent="0.25">
      <c r="A7" s="9" t="s">
        <v>115</v>
      </c>
      <c r="B7" s="9"/>
      <c r="C7" s="9"/>
      <c r="D7" s="9"/>
      <c r="E7" s="9">
        <f>E5-E6</f>
        <v>10514.338275000002</v>
      </c>
      <c r="F7" s="9">
        <f t="shared" ref="F7:I7" si="0">F5-F6</f>
        <v>11216.010178875</v>
      </c>
      <c r="G7" s="9">
        <f t="shared" si="0"/>
        <v>11966.777973013126</v>
      </c>
      <c r="H7" s="9">
        <f t="shared" si="0"/>
        <v>12770.199800360035</v>
      </c>
      <c r="I7" s="9">
        <f t="shared" si="0"/>
        <v>13630.09827142442</v>
      </c>
    </row>
    <row r="8" spans="1:9" x14ac:dyDescent="0.25">
      <c r="A8" s="9" t="s">
        <v>85</v>
      </c>
      <c r="B8" s="9"/>
      <c r="C8" s="9"/>
      <c r="D8" s="9"/>
      <c r="E8" s="9">
        <f>('p&amp;l'!E10)</f>
        <v>1709.6485000000002</v>
      </c>
      <c r="F8" s="9">
        <f>('p&amp;l'!F10)</f>
        <v>1823.7414925000003</v>
      </c>
      <c r="G8" s="9">
        <f>('p&amp;l'!G10)</f>
        <v>1945.8175565875001</v>
      </c>
      <c r="H8" s="9">
        <f>('p&amp;l'!H10)</f>
        <v>2076.4552520910629</v>
      </c>
      <c r="I8" s="9">
        <f>('p&amp;l'!I10)</f>
        <v>2216.2761416950275</v>
      </c>
    </row>
    <row r="9" spans="1:9" x14ac:dyDescent="0.25">
      <c r="A9" s="9" t="s">
        <v>116</v>
      </c>
      <c r="B9" s="9"/>
      <c r="C9" s="9"/>
      <c r="D9" s="9"/>
      <c r="E9" s="9">
        <f>(BS!E25)</f>
        <v>1914.8063200000001</v>
      </c>
      <c r="F9" s="9">
        <f>(BS!F25)</f>
        <v>2042.5904716000002</v>
      </c>
      <c r="G9" s="9">
        <f>(BS!G25)</f>
        <v>2179.315663378</v>
      </c>
      <c r="H9" s="9">
        <f>(BS!H25)</f>
        <v>2325.6298823419902</v>
      </c>
      <c r="I9" s="9">
        <f>(BS!I25)</f>
        <v>2482.2292786984308</v>
      </c>
    </row>
    <row r="10" spans="1:9" x14ac:dyDescent="0.25">
      <c r="A10" s="9" t="s">
        <v>117</v>
      </c>
      <c r="B10" s="9"/>
      <c r="C10" s="9"/>
      <c r="D10" s="9"/>
      <c r="E10" s="9">
        <f>(BS!E27)</f>
        <v>2214.9014246575352</v>
      </c>
      <c r="F10" s="9">
        <f>(BS!F27)</f>
        <v>-212.55680794520777</v>
      </c>
      <c r="G10" s="9">
        <f>(BS!G27)</f>
        <v>-227.4293796698621</v>
      </c>
      <c r="H10" s="9">
        <f>(BS!H27)</f>
        <v>-243.37981628060879</v>
      </c>
      <c r="I10" s="9">
        <f>(BS!I27)</f>
        <v>-260.48823268683918</v>
      </c>
    </row>
    <row r="12" spans="1:9" x14ac:dyDescent="0.25">
      <c r="A12" s="7" t="s">
        <v>118</v>
      </c>
      <c r="B12" s="7"/>
      <c r="C12" s="7"/>
      <c r="D12" s="7"/>
      <c r="E12" s="7">
        <f>E7+E8-E9-E10</f>
        <v>8094.2790303424663</v>
      </c>
      <c r="F12" s="7">
        <f t="shared" ref="F12:I12" si="1">F7+F8-F9-F10</f>
        <v>11209.718007720208</v>
      </c>
      <c r="G12" s="7">
        <f t="shared" si="1"/>
        <v>11960.709245892489</v>
      </c>
      <c r="H12" s="7">
        <f t="shared" si="1"/>
        <v>12764.404986389716</v>
      </c>
      <c r="I12" s="7">
        <f t="shared" si="1"/>
        <v>13624.633367107856</v>
      </c>
    </row>
    <row r="13" spans="1:9" x14ac:dyDescent="0.25">
      <c r="A13" s="9" t="s">
        <v>119</v>
      </c>
      <c r="B13" s="9"/>
      <c r="C13" s="9"/>
      <c r="D13" s="9"/>
      <c r="E13" s="9"/>
      <c r="F13" s="9">
        <f>(F12/E12)-1</f>
        <v>0.38489394369765484</v>
      </c>
      <c r="G13" s="9">
        <f t="shared" ref="G13:I13" si="2">(G12/F12)-1</f>
        <v>6.699465924611725E-2</v>
      </c>
      <c r="H13" s="9">
        <f t="shared" si="2"/>
        <v>6.7194655766189548E-2</v>
      </c>
      <c r="I13" s="9">
        <f t="shared" si="2"/>
        <v>6.7392752081697038E-2</v>
      </c>
    </row>
    <row r="14" spans="1:9" x14ac:dyDescent="0.25">
      <c r="A14" s="9" t="s">
        <v>120</v>
      </c>
      <c r="B14" s="9"/>
      <c r="C14" s="9"/>
      <c r="D14" s="9"/>
      <c r="E14" s="9">
        <f>E12/'p&amp;l'!E5</f>
        <v>0.11836174263806955</v>
      </c>
      <c r="F14" s="9">
        <f>F12/'p&amp;l'!F5</f>
        <v>0.15366374639469646</v>
      </c>
      <c r="G14" s="9">
        <f>G12/'p&amp;l'!G5</f>
        <v>0.15367202856968668</v>
      </c>
      <c r="H14" s="9">
        <f>H12/'p&amp;l'!H5</f>
        <v>0.15368023189442098</v>
      </c>
      <c r="I14" s="9">
        <f>I12/'p&amp;l'!I5</f>
        <v>0.1536883548803582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topLeftCell="A7" workbookViewId="0">
      <selection activeCell="I35" sqref="I35"/>
    </sheetView>
  </sheetViews>
  <sheetFormatPr defaultRowHeight="15" x14ac:dyDescent="0.25"/>
  <sheetData>
    <row r="1" spans="1:9" ht="15.75" x14ac:dyDescent="0.25">
      <c r="A1" s="18" t="s">
        <v>121</v>
      </c>
      <c r="B1" s="18"/>
      <c r="C1" s="18"/>
      <c r="D1" s="18"/>
      <c r="E1" s="18"/>
      <c r="F1" s="18"/>
      <c r="G1" s="18"/>
      <c r="H1" s="18"/>
      <c r="I1" s="18"/>
    </row>
    <row r="2" spans="1:9" ht="15.75" x14ac:dyDescent="0.25">
      <c r="A2" s="20" t="s">
        <v>63</v>
      </c>
      <c r="B2" s="20"/>
      <c r="C2" s="20"/>
      <c r="D2" s="20"/>
      <c r="E2" s="20"/>
      <c r="F2" s="20"/>
      <c r="G2" s="20"/>
      <c r="H2" s="20"/>
      <c r="I2" s="20"/>
    </row>
    <row r="4" spans="1:9" x14ac:dyDescent="0.25">
      <c r="A4" s="7" t="s">
        <v>81</v>
      </c>
      <c r="E4" s="7" t="s">
        <v>68</v>
      </c>
      <c r="F4" s="7" t="s">
        <v>69</v>
      </c>
      <c r="G4" s="7" t="s">
        <v>70</v>
      </c>
      <c r="H4" s="7" t="s">
        <v>71</v>
      </c>
      <c r="I4" s="8" t="s">
        <v>72</v>
      </c>
    </row>
    <row r="5" spans="1:9" x14ac:dyDescent="0.25">
      <c r="A5" t="s">
        <v>122</v>
      </c>
      <c r="E5">
        <f>FCF!E12</f>
        <v>8094.2790303424663</v>
      </c>
      <c r="F5">
        <f>FCF!F12</f>
        <v>11209.718007720208</v>
      </c>
      <c r="G5">
        <f>FCF!G12</f>
        <v>11960.709245892489</v>
      </c>
      <c r="H5">
        <f>FCF!H12</f>
        <v>12764.404986389716</v>
      </c>
      <c r="I5">
        <f>FCF!I12</f>
        <v>13624.633367107856</v>
      </c>
    </row>
    <row r="6" spans="1:9" x14ac:dyDescent="0.25">
      <c r="A6" t="s">
        <v>123</v>
      </c>
      <c r="E6">
        <v>1</v>
      </c>
      <c r="F6">
        <v>2</v>
      </c>
      <c r="G6">
        <v>3</v>
      </c>
      <c r="H6">
        <v>4</v>
      </c>
      <c r="I6">
        <v>5</v>
      </c>
    </row>
    <row r="7" spans="1:9" x14ac:dyDescent="0.25">
      <c r="A7" t="s">
        <v>124</v>
      </c>
      <c r="E7">
        <f>1/(1+$B$32)^E6</f>
        <v>0.90859943939414589</v>
      </c>
      <c r="F7">
        <f t="shared" ref="F7:I7" si="0">1/(1+$B$32)^F6</f>
        <v>0.82555294126735623</v>
      </c>
      <c r="G7">
        <f t="shared" si="0"/>
        <v>0.75009693962570811</v>
      </c>
      <c r="H7">
        <f t="shared" si="0"/>
        <v>0.68153765883518291</v>
      </c>
      <c r="I7">
        <f t="shared" si="0"/>
        <v>0.61924473474364594</v>
      </c>
    </row>
    <row r="8" spans="1:9" x14ac:dyDescent="0.25">
      <c r="A8" t="s">
        <v>125</v>
      </c>
      <c r="E8">
        <f>E5*E7</f>
        <v>7354.4573892689559</v>
      </c>
      <c r="F8">
        <f t="shared" ref="F8:I8" si="1">F5*F7</f>
        <v>9254.2156720510666</v>
      </c>
      <c r="G8">
        <f t="shared" si="1"/>
        <v>8971.6914010968667</v>
      </c>
      <c r="H8">
        <f t="shared" si="1"/>
        <v>8699.4226908481814</v>
      </c>
      <c r="I8">
        <f t="shared" si="1"/>
        <v>8436.9824753941321</v>
      </c>
    </row>
    <row r="9" spans="1:9" x14ac:dyDescent="0.25">
      <c r="A9" t="s">
        <v>126</v>
      </c>
      <c r="E9">
        <f>SUM(E8:I8)</f>
        <v>42716.769628659196</v>
      </c>
    </row>
    <row r="12" spans="1:9" x14ac:dyDescent="0.25">
      <c r="A12" s="7" t="s">
        <v>127</v>
      </c>
      <c r="B12" s="7"/>
      <c r="C12" s="7"/>
      <c r="D12" s="7"/>
      <c r="E12" s="7"/>
    </row>
    <row r="13" spans="1:9" x14ac:dyDescent="0.25">
      <c r="A13" t="s">
        <v>128</v>
      </c>
      <c r="E13">
        <f>FCF!I12*(1+$B$31)</f>
        <v>14305.865035463248</v>
      </c>
    </row>
    <row r="14" spans="1:9" x14ac:dyDescent="0.25">
      <c r="A14" t="s">
        <v>129</v>
      </c>
      <c r="E14">
        <f>E13/($B$32-$B$31)</f>
        <v>282752.54541878146</v>
      </c>
    </row>
    <row r="15" spans="1:9" x14ac:dyDescent="0.25">
      <c r="A15" t="s">
        <v>130</v>
      </c>
      <c r="E15">
        <f>E14*I7</f>
        <v>175093.02498594404</v>
      </c>
    </row>
    <row r="17" spans="1:10" x14ac:dyDescent="0.25">
      <c r="A17" s="7" t="s">
        <v>131</v>
      </c>
      <c r="B17" s="7"/>
      <c r="C17" s="7"/>
      <c r="D17" s="7"/>
      <c r="E17" s="7"/>
    </row>
    <row r="18" spans="1:10" x14ac:dyDescent="0.25">
      <c r="A18" t="s">
        <v>132</v>
      </c>
      <c r="E18">
        <f>('p&amp;l'!I8)*35</f>
        <v>713640.91762579884</v>
      </c>
    </row>
    <row r="19" spans="1:10" x14ac:dyDescent="0.25">
      <c r="A19" t="s">
        <v>133</v>
      </c>
      <c r="E19">
        <f>E18*I7</f>
        <v>441918.38073739992</v>
      </c>
    </row>
    <row r="22" spans="1:10" x14ac:dyDescent="0.25">
      <c r="A22" t="s">
        <v>134</v>
      </c>
      <c r="E22">
        <f>(E15+E19)/2</f>
        <v>308505.70286167198</v>
      </c>
    </row>
    <row r="23" spans="1:10" x14ac:dyDescent="0.25">
      <c r="A23" t="s">
        <v>135</v>
      </c>
      <c r="E23">
        <f>E9+E22</f>
        <v>351222.47249033116</v>
      </c>
    </row>
    <row r="24" spans="1:10" x14ac:dyDescent="0.25">
      <c r="A24" t="s">
        <v>136</v>
      </c>
      <c r="E24" s="3">
        <f>BS!D16-BS!D10</f>
        <v>-1550</v>
      </c>
    </row>
    <row r="25" spans="1:10" x14ac:dyDescent="0.25">
      <c r="A25" t="s">
        <v>137</v>
      </c>
      <c r="E25" s="3">
        <f>E23-E24</f>
        <v>352772.47249033116</v>
      </c>
    </row>
    <row r="26" spans="1:10" x14ac:dyDescent="0.25">
      <c r="A26" t="s">
        <v>138</v>
      </c>
      <c r="E26">
        <f>234</f>
        <v>234</v>
      </c>
      <c r="J26" s="1"/>
    </row>
    <row r="27" spans="1:10" x14ac:dyDescent="0.25">
      <c r="A27" t="s">
        <v>139</v>
      </c>
      <c r="E27">
        <f>(E25/E26)</f>
        <v>1507.574668762099</v>
      </c>
    </row>
    <row r="28" spans="1:10" x14ac:dyDescent="0.25">
      <c r="A28" t="s">
        <v>140</v>
      </c>
      <c r="E28">
        <f>2370</f>
        <v>2370</v>
      </c>
    </row>
    <row r="29" spans="1:10" x14ac:dyDescent="0.25">
      <c r="A29" t="s">
        <v>141</v>
      </c>
      <c r="E29">
        <f>(E27/E28)-1</f>
        <v>-0.36389254482611855</v>
      </c>
    </row>
    <row r="31" spans="1:10" ht="15.75" x14ac:dyDescent="0.3">
      <c r="A31" s="4" t="s">
        <v>144</v>
      </c>
      <c r="B31" s="1">
        <f>Assumptions!$B$10</f>
        <v>0.05</v>
      </c>
    </row>
    <row r="32" spans="1:10" x14ac:dyDescent="0.25">
      <c r="A32" t="s">
        <v>145</v>
      </c>
      <c r="B32">
        <f>Assumptions!$B$51</f>
        <v>0.100595</v>
      </c>
    </row>
    <row r="33" spans="1:8" x14ac:dyDescent="0.25">
      <c r="A33" s="7" t="s">
        <v>142</v>
      </c>
    </row>
    <row r="34" spans="1:8" x14ac:dyDescent="0.25">
      <c r="A34" t="s">
        <v>143</v>
      </c>
    </row>
    <row r="35" spans="1:8" x14ac:dyDescent="0.25">
      <c r="A35">
        <f>E27</f>
        <v>1507.574668762099</v>
      </c>
      <c r="B35">
        <v>0.04</v>
      </c>
      <c r="C35">
        <v>4.4999999999999998E-2</v>
      </c>
      <c r="D35">
        <v>0.05</v>
      </c>
      <c r="E35">
        <v>5.5E-2</v>
      </c>
      <c r="F35">
        <v>0.06</v>
      </c>
      <c r="G35">
        <v>6.5000000000000002E-2</v>
      </c>
      <c r="H35">
        <v>7.0000000000000007E-2</v>
      </c>
    </row>
    <row r="36" spans="1:8" x14ac:dyDescent="0.25">
      <c r="A36">
        <v>0.08</v>
      </c>
      <c r="B36">
        <f t="dataTable" ref="B36:H42" dt2D="1" dtr="1" r1="B31" r2="B32"/>
        <v>1752.974378987542</v>
      </c>
      <c r="C36">
        <v>1829.3977020814898</v>
      </c>
      <c r="D36">
        <v>1931.2954662067536</v>
      </c>
      <c r="E36">
        <v>2073.9523359821228</v>
      </c>
      <c r="F36">
        <v>2287.937640645177</v>
      </c>
      <c r="G36">
        <v>2644.5798150836013</v>
      </c>
      <c r="H36">
        <v>3357.8641639604498</v>
      </c>
    </row>
    <row r="37" spans="1:8" x14ac:dyDescent="0.25">
      <c r="A37">
        <v>8.5000000000000006E-2</v>
      </c>
      <c r="B37">
        <v>1658.8659167745534</v>
      </c>
      <c r="C37">
        <v>1717.2181548460405</v>
      </c>
      <c r="D37">
        <v>1792.2424609379525</v>
      </c>
      <c r="E37">
        <v>1892.2748690605013</v>
      </c>
      <c r="F37">
        <v>2032.32024043207</v>
      </c>
      <c r="G37">
        <v>2242.3882974894227</v>
      </c>
      <c r="H37">
        <v>2592.5017259183455</v>
      </c>
    </row>
    <row r="38" spans="1:8" x14ac:dyDescent="0.25">
      <c r="A38">
        <v>0.09</v>
      </c>
      <c r="B38">
        <v>1579.2569205025932</v>
      </c>
      <c r="C38">
        <v>1625.0880400124665</v>
      </c>
      <c r="D38">
        <v>1682.376939399808</v>
      </c>
      <c r="E38">
        <v>1756.0340957549611</v>
      </c>
      <c r="F38">
        <v>1854.2436375618324</v>
      </c>
      <c r="G38">
        <v>1991.7369960914523</v>
      </c>
      <c r="H38">
        <v>2197.9770338858821</v>
      </c>
    </row>
    <row r="39" spans="1:8" x14ac:dyDescent="0.25">
      <c r="A39">
        <v>9.5000000000000001E-2</v>
      </c>
      <c r="B39">
        <v>1510.3556308878319</v>
      </c>
      <c r="C39">
        <v>1547.1735979752432</v>
      </c>
      <c r="D39">
        <v>1592.1733355265237</v>
      </c>
      <c r="E39">
        <v>1648.4230074656239</v>
      </c>
      <c r="F39">
        <v>1720.7440142444675</v>
      </c>
      <c r="G39">
        <v>1817.1720232829257</v>
      </c>
      <c r="H39">
        <v>1952.1712359367671</v>
      </c>
    </row>
    <row r="40" spans="1:8" x14ac:dyDescent="0.25">
      <c r="A40">
        <v>0.1</v>
      </c>
      <c r="B40">
        <v>1449.627892458321</v>
      </c>
      <c r="C40">
        <v>1479.7554757079665</v>
      </c>
      <c r="D40">
        <v>1515.9085756075413</v>
      </c>
      <c r="E40">
        <v>1560.0956977070218</v>
      </c>
      <c r="F40">
        <v>1615.3296003313724</v>
      </c>
      <c r="G40">
        <v>1686.3446179912514</v>
      </c>
      <c r="H40">
        <v>1781.0313082044236</v>
      </c>
    </row>
    <row r="41" spans="1:8" x14ac:dyDescent="0.25">
      <c r="A41">
        <v>0.105</v>
      </c>
      <c r="B41">
        <v>1395.3137223732108</v>
      </c>
      <c r="C41">
        <v>1420.3480110902312</v>
      </c>
      <c r="D41">
        <v>1449.9339886648913</v>
      </c>
      <c r="E41">
        <v>1485.4371617544837</v>
      </c>
      <c r="F41">
        <v>1528.8299288639853</v>
      </c>
      <c r="G41">
        <v>1583.0708877508628</v>
      </c>
      <c r="H41">
        <v>1652.8092634625623</v>
      </c>
    </row>
    <row r="42" spans="1:8" x14ac:dyDescent="0.25">
      <c r="A42">
        <v>0.11</v>
      </c>
      <c r="B42">
        <v>1346.1510522438061</v>
      </c>
      <c r="C42">
        <v>1367.2249885880426</v>
      </c>
      <c r="D42">
        <v>1391.8112476563185</v>
      </c>
      <c r="E42">
        <v>1420.8677356460992</v>
      </c>
      <c r="F42">
        <v>1455.7355212338359</v>
      </c>
      <c r="G42">
        <v>1498.3517036188473</v>
      </c>
      <c r="H42">
        <v>1551.621931600112</v>
      </c>
    </row>
  </sheetData>
  <mergeCells count="2">
    <mergeCell ref="A1:I1"/>
    <mergeCell ref="A2:I2"/>
  </mergeCells>
  <conditionalFormatting sqref="B36:H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Revenue</vt:lpstr>
      <vt:lpstr>p&amp;l</vt:lpstr>
      <vt:lpstr>BS</vt:lpstr>
      <vt:lpstr>FCF</vt:lpstr>
      <vt:lpstr>DCF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</dc:creator>
  <cp:lastModifiedBy>ARPAN</cp:lastModifiedBy>
  <dcterms:created xsi:type="dcterms:W3CDTF">2026-05-09T05:26:54Z</dcterms:created>
  <dcterms:modified xsi:type="dcterms:W3CDTF">2026-05-11T13:04:46Z</dcterms:modified>
</cp:coreProperties>
</file>